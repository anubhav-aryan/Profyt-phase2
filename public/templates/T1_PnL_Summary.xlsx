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Entry" sheetId="1" state="visible" r:id="rId3"/>
    <sheet name="Scenario Model" sheetId="2" state="visible" r:id="rId4"/>
    <sheet name="Dashboard" sheetId="3" state="visible" r:id="rId5"/>
    <sheet name="Print Re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<sst xmlns="http://schemas.openxmlformats.org/spreadsheetml/2006/main" count="179" uniqueCount="142">
  <si>
    <t xml:space="preserve">Cash Runway Stress Tester — Analyst Data Entry</t>
  </si>
  <si>
    <t xml:space="preserve">Paste or type client inputs here. Yellow = data from client file. All monetary values in ₹ Cr.</t>
  </si>
  <si>
    <t xml:space="preserve">Input Field</t>
  </si>
  <si>
    <t xml:space="preserve">Client Value</t>
  </si>
  <si>
    <t xml:space="preserve">Guidance / Source</t>
  </si>
  <si>
    <t xml:space="preserve">A.  CLIENT PROFILE</t>
  </si>
  <si>
    <t xml:space="preserve">  Company Name</t>
  </si>
  <si>
    <t xml:space="preserve">Client Input File  ·  Cover Sheet</t>
  </si>
  <si>
    <t xml:space="preserve">  Industry / Sector</t>
  </si>
  <si>
    <t xml:space="preserve">  Analysis Date</t>
  </si>
  <si>
    <t xml:space="preserve">Enter today's date</t>
  </si>
  <si>
    <t xml:space="preserve">  Analyst Name</t>
  </si>
  <si>
    <t xml:space="preserve">PROFYT Analyst conducting this review</t>
  </si>
  <si>
    <t xml:space="preserve">B.  CASH POSITION  (₹ Crore)</t>
  </si>
  <si>
    <t xml:space="preserve">  Cash &amp; Bank Balance</t>
  </si>
  <si>
    <t xml:space="preserve">Client Input File  ·  Section B  ·  Row 1</t>
  </si>
  <si>
    <t xml:space="preserve">  Short-Term Investments / FDs</t>
  </si>
  <si>
    <t xml:space="preserve">Client Input File  ·  Section B  ·  Row 2</t>
  </si>
  <si>
    <t xml:space="preserve">  Total Accessible Cash</t>
  </si>
  <si>
    <t xml:space="preserve">AUTO  —  Sum of above</t>
  </si>
  <si>
    <t xml:space="preserve">  Accounts Receivable (&lt; 60 days)</t>
  </si>
  <si>
    <t xml:space="preserve">Client Input File  ·  Section B  ·  Row 4</t>
  </si>
  <si>
    <t xml:space="preserve">  Undrawn Credit Facility</t>
  </si>
  <si>
    <t xml:space="preserve">Client Input File  ·  Section B  ·  Row 5</t>
  </si>
  <si>
    <t xml:space="preserve">C.  MONTHLY REVENUE  (₹ Crore / month)</t>
  </si>
  <si>
    <t xml:space="preserve">  Primary Revenue Stream</t>
  </si>
  <si>
    <t xml:space="preserve">Client Input File  ·  Section C  ·  Row 1</t>
  </si>
  <si>
    <t xml:space="preserve">  Secondary Revenue Stream</t>
  </si>
  <si>
    <t xml:space="preserve">Client Input File  ·  Section C  ·  Row 2</t>
  </si>
  <si>
    <t xml:space="preserve">  Tertiary Revenue Stream</t>
  </si>
  <si>
    <t xml:space="preserve">Client Input File  ·  Section C  ·  Row 3</t>
  </si>
  <si>
    <t xml:space="preserve">  Other / Misc Revenue</t>
  </si>
  <si>
    <t xml:space="preserve">Client Input File  ·  Section C  ·  Row 4</t>
  </si>
  <si>
    <t xml:space="preserve">  TOTAL MONTHLY REVENUE</t>
  </si>
  <si>
    <t xml:space="preserve">AUTO  —  Sum of revenue streams</t>
  </si>
  <si>
    <t xml:space="preserve">D.  MONTHLY EXPENSES / BURN  (₹ Crore / month)</t>
  </si>
  <si>
    <t xml:space="preserve">  Salaries &amp; Benefits</t>
  </si>
  <si>
    <t xml:space="preserve">Client Input File  ·  Section D</t>
  </si>
  <si>
    <t xml:space="preserve">  Cloud, Tech &amp; SaaS</t>
  </si>
  <si>
    <t xml:space="preserve">  Marketing &amp; Acquisition Spend</t>
  </si>
  <si>
    <t xml:space="preserve">  Rent &amp; Facilities</t>
  </si>
  <si>
    <t xml:space="preserve">  Cost of Delivery / COGS</t>
  </si>
  <si>
    <t xml:space="preserve">  Professional Fees</t>
  </si>
  <si>
    <t xml:space="preserve">  Loan / Debt EMI</t>
  </si>
  <si>
    <t xml:space="preserve">  Other Fixed Expenses</t>
  </si>
  <si>
    <t xml:space="preserve">  Other Variable Expenses</t>
  </si>
  <si>
    <t xml:space="preserve">  TOTAL MONTHLY BURN</t>
  </si>
  <si>
    <t xml:space="preserve">AUTO  —  Sum of all expense lines</t>
  </si>
  <si>
    <t xml:space="preserve">E.  GROWTH RATES &amp; STRESS SCENARIO ASSUMPTIONS</t>
  </si>
  <si>
    <t xml:space="preserve">Base = client's own estimates. Downside &amp; Worst Case = PROFYT analyst stress inputs.</t>
  </si>
  <si>
    <t xml:space="preserve">Assumption</t>
  </si>
  <si>
    <t xml:space="preserve">Base Case  (client input)</t>
  </si>
  <si>
    <t xml:space="preserve">Analyst Override  (optional)</t>
  </si>
  <si>
    <t xml:space="preserve">  Monthly Revenue Growth Rate (%)</t>
  </si>
  <si>
    <t xml:space="preserve">  Monthly Burn Growth Rate (%)</t>
  </si>
  <si>
    <t xml:space="preserve">Stress Assumption</t>
  </si>
  <si>
    <t xml:space="preserve">Downside (₹ Cr or %)</t>
  </si>
  <si>
    <t xml:space="preserve">Worst Case (₹ Cr or %)</t>
  </si>
  <si>
    <t xml:space="preserve">  Revenue Drop vs Base (% reduction)</t>
  </si>
  <si>
    <t xml:space="preserve">  Burn Spike vs Base (% increase)</t>
  </si>
  <si>
    <t xml:space="preserve">F.  ONE-TIME CASH EVENTS</t>
  </si>
  <si>
    <t xml:space="preserve">Event</t>
  </si>
  <si>
    <t xml:space="preserve">Amount (₹ Cr)</t>
  </si>
  <si>
    <t xml:space="preserve">Month (1 = next month)</t>
  </si>
  <si>
    <t xml:space="preserve">  Expected Fundraise / Capital Infusion</t>
  </si>
  <si>
    <t xml:space="preserve">  Expected Large One-Time Expense</t>
  </si>
  <si>
    <t xml:space="preserve">  Confirmed Advance Payments</t>
  </si>
  <si>
    <t xml:space="preserve">Scenario Model — 12-Month Cash Projection  (3 Scenarios)</t>
  </si>
  <si>
    <t xml:space="preserve">BASE CASE</t>
  </si>
  <si>
    <t xml:space="preserve">DOWNSIDE</t>
  </si>
  <si>
    <t xml:space="preserve">WORST CASE</t>
  </si>
  <si>
    <t xml:space="preserve">₹ Crore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</si>
  <si>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</si>
  <si>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</si>
  <si>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</si>
  <si>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</si>
  <si>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</si>
  <si>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</si>
  <si>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</si>
  <si>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</si>
  <si>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</si>
  <si>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</si>
  <si>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</si>
  <si>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</si>
  <si>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Opening Cash (₹ Cr)</t>
  </si>
  <si>
    <t xml:space="preserve">Monthly Revenue (₹ Cr)</t>
  </si>
  <si>
    <t xml:space="preserve">Monthly Burn (₹ Cr)</t>
  </si>
  <si>
    <t xml:space="preserve">One-Time Inflows (₹ Cr)</t>
  </si>
  <si>
    <t xml:space="preserve">One-Time Outflows (₹ Cr)</t>
  </si>
  <si>
    <t xml:space="preserve">Net Cash Movement (₹ Cr)</t>
  </si>
  <si>
    <t xml:space="preserve">Closing Cash Balance (₹ Cr)</t>
  </si>
  <si>
    <t xml:space="preserve">Cumulative Runway Used</t>
  </si>
  <si>
    <t xml:space="preserve">Cash Runway Stress Tester — Dashboard</t>
  </si>
  <si>
    <t xml:space="preserve">Auto-calculated from Data Entry sheet. Complete Data Entry before reading this dashboard.</t>
  </si>
  <si>
    <t xml:space="preserve">KEY METRICS</t>
  </si>
  <si>
    <t xml:space="preserve">Metric</t>
  </si>
  <si>
    <t xml:space="preserve">Base Case</t>
  </si>
  <si>
    <t xml:space="preserve">Downside</t>
  </si>
  <si>
    <t xml:space="preserve">Worst Case</t>
  </si>
  <si>
    <t xml:space="preserve">Health Indicator</t>
  </si>
  <si>
    <t xml:space="preserve">  Cash Opening Balance (₹ Cr)</t>
  </si>
  <si>
    <t xml:space="preserve">  Monthly Revenue — Mo 1 (₹ Cr)</t>
  </si>
  <si>
    <t xml:space="preserve">  Monthly Burn — Mo 1 (₹ Cr)</t>
  </si>
  <si>
    <t xml:space="preserve">  Cash at Month 6 (₹ Cr)</t>
  </si>
  <si>
    <t xml:space="preserve">  Cash at Month 12 (₹ Cr)</t>
  </si>
  <si>
    <t xml:space="preserve">  Estimated Runway</t>
  </si>
  <si>
    <t xml:space="preserve">  Net Burn Mo 1 (₹ Cr)</t>
  </si>
  <si>
    <t xml:space="preserve">SCENARIO VERDICTS</t>
  </si>
  <si>
    <t xml:space="preserve">Scenario</t>
  </si>
  <si>
    <t xml:space="preserve">Runway</t>
  </si>
  <si>
    <t xml:space="preserve">Net Burn Mo 1</t>
  </si>
  <si>
    <t xml:space="preserve">Cash @ Mo 12</t>
  </si>
  <si>
    <t xml:space="preserve">Verdict</t>
  </si>
  <si>
    <t xml:space="preserve">🟢  BASE CASE</t>
  </si>
  <si>
    <t xml:space="preserve">🟡  DOWNSIDE</t>
  </si>
  <si>
    <t xml:space="preserve">🔴  WORST CASE</t>
  </si>
  <si>
    <t xml:space="preserve">ANALYST COMMENTARY</t>
  </si>
  <si>
    <t xml:space="preserve">Analyst: Overall cash position assessment — describe the business's runway risk under each scenario and flag the primary driver (revenue sensitivity, cost inflexibility, or scenario gap). Note any single largest risk.</t>
  </si>
  <si>
    <t xml:space="preserve">Analyst: Key recommendations — e.g. 'Downside scenario triggers a cash-out in Month 8. The primary intervention is reducing fixed burn by ₹X Cr per month through [specific cost]. Recommend initiating this review within 30 days regardless of base case outlook.'</t>
  </si>
  <si>
    <t xml:space="preserve">Analyst: Fundraising context — if a raise is planned, note whether the current runway supports completing it without distress pricing. Flag the deadline by which fundraising must close to avoid a crisis scenario.</t>
  </si>
  <si>
    <t xml:space="preserve">PROFYT  ·  Cash Runway Stress Test</t>
  </si>
  <si>
    <t xml:space="preserve">SECTION 1  —  KEY INPUTS SUMMARY</t>
  </si>
  <si>
    <t xml:space="preserve">Value</t>
  </si>
  <si>
    <t xml:space="preserve">Source</t>
  </si>
  <si>
    <t xml:space="preserve">'Data Entry' Sheet  ·  Section B</t>
  </si>
  <si>
    <t xml:space="preserve">  Monthly Revenue</t>
  </si>
  <si>
    <t xml:space="preserve">'Data Entry' Sheet  ·  Section C</t>
  </si>
  <si>
    <t xml:space="preserve">  Monthly Burn</t>
  </si>
  <si>
    <t xml:space="preserve">'Data Entry' Sheet  ·  Section D</t>
  </si>
  <si>
    <t xml:space="preserve">  Net Monthly Burn</t>
  </si>
  <si>
    <t xml:space="preserve">Calculated</t>
  </si>
  <si>
    <t xml:space="preserve">  Revenue Growth Rate</t>
  </si>
  <si>
    <t xml:space="preserve">'Data Entry' Sheet  ·  Section E</t>
  </si>
  <si>
    <t xml:space="preserve">  Burn Growth Rate</t>
  </si>
  <si>
    <t xml:space="preserve">SECTION 2  —  SCENARIO RESULTS</t>
  </si>
  <si>
    <t xml:space="preserve">Scenario  ·  Key Outcome</t>
  </si>
  <si>
    <t xml:space="preserve">Cash @ Mo 6</t>
  </si>
  <si>
    <t xml:space="preserve">🟢  BASE CASE  — Client's own projections</t>
  </si>
  <si>
    <t xml:space="preserve">🟡  DOWNSIDE  — Analyst stress scenario</t>
  </si>
  <si>
    <t xml:space="preserve">🔴  WORST CASE  — Maximum stress</t>
  </si>
  <si>
    <t xml:space="preserve">SECTION 3  —  ANALYST ASSESSMENT &amp; RECOMMENDATIONS</t>
  </si>
  <si>
    <t xml:space="preserve">PROFYT  ·  Confidential  ·  This report is based on information provided by the client. PROFYT makes no warranty of accuracy.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</si>
</sst>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"/>
    <numFmt numFmtId="167" formatCode="#,##0"/>
    <numFmt numFmtId="168" formatCode="@"/>
    <numFmt numFmtId="169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9A9A9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D2D2D"/>
      <name val="Arial"/>
      <family val="0"/>
      <charset val="1"/>
    </font>
    <font>
      <sz val="11"/>
      <color rgb="FF0000CC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9A9A9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A0A0A"/>
      <name val="Arial"/>
      <family val="0"/>
      <charset val="1"/>
    </font>
    <font>
      <b val="true"/>
      <sz val="9"/>
      <color rgb="FF0A0A0A"/>
      <name val="Arial"/>
      <family val="0"/>
      <charset val="1"/>
    </font>
    <font>
      <sz val="8"/>
      <color rgb="FF9B1C1C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9"/>
      <color rgb="FF2D2D2D"/>
      <name val="Arial"/>
      <family val="0"/>
      <charset val="1"/>
    </font>
    <font>
      <b val="true"/>
      <sz val="10"/>
      <color rgb="FF1A6B3C"/>
      <name val="Arial"/>
      <family val="0"/>
      <charset val="1"/>
    </font>
    <font>
      <b val="true"/>
      <sz val="11"/>
      <color rgb="FF1A6B3C"/>
      <name val="Arial"/>
      <family val="0"/>
      <charset val="1"/>
    </font>
    <font>
      <sz val="10"/>
      <color rgb="FF1A6B3C"/>
      <name val="Arial"/>
      <family val="0"/>
      <charset val="1"/>
    </font>
    <font>
      <b val="true"/>
      <sz val="10"/>
      <color rgb="FF925200"/>
      <name val="Arial"/>
      <family val="0"/>
      <charset val="1"/>
    </font>
    <font>
      <b val="true"/>
      <sz val="11"/>
      <color rgb="FF925200"/>
      <name val="Arial"/>
      <family val="0"/>
      <charset val="1"/>
    </font>
    <font>
      <sz val="10"/>
      <color rgb="FF925200"/>
      <name val="Arial"/>
      <family val="0"/>
      <charset val="1"/>
    </font>
    <font>
      <b val="true"/>
      <sz val="10"/>
      <color rgb="FF9B1C1C"/>
      <name val="Arial"/>
      <family val="0"/>
      <charset val="1"/>
    </font>
    <font>
      <b val="true"/>
      <sz val="11"/>
      <color rgb="FF9B1C1C"/>
      <name val="Arial"/>
      <family val="0"/>
      <charset val="1"/>
    </font>
    <font>
      <sz val="10"/>
      <color rgb="FF9B1C1C"/>
      <name val="Arial"/>
      <family val="0"/>
      <charset val="1"/>
    </font>
    <font>
      <i val="true"/>
      <sz val="10"/>
      <color rgb="FF1A3A6B"/>
      <name val="Arial"/>
      <family val="0"/>
      <charset val="1"/>
    </font>
    <font>
      <b val="true"/>
      <sz val="16"/>
      <color rgb="FFFFFFF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2D2D2D"/>
        <bgColor rgb="FF1A1A1A"/>
      </patternFill>
    </fill>
    <fill>
      <patternFill patternType="solid">
        <fgColor rgb="FF1A1A1A"/>
        <bgColor rgb="FF0A0A0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0F4FF"/>
      </patternFill>
    </fill>
    <fill>
      <patternFill patternType="solid">
        <fgColor rgb="FF1A6B3C"/>
        <bgColor rgb="FF008080"/>
      </patternFill>
    </fill>
    <fill>
      <patternFill patternType="solid">
        <fgColor rgb="FF925200"/>
        <bgColor rgb="FF993366"/>
      </patternFill>
    </fill>
    <fill>
      <patternFill patternType="solid">
        <fgColor rgb="FF9B1C1C"/>
        <bgColor rgb="FF800000"/>
      </patternFill>
    </fill>
    <fill>
      <patternFill patternType="solid">
        <fgColor rgb="FFE6F4EC"/>
        <bgColor rgb="FFF0F4FF"/>
      </patternFill>
    </fill>
    <fill>
      <patternFill patternType="solid">
        <fgColor rgb="FFFFF3E0"/>
        <bgColor rgb="FFFDE8E8"/>
      </patternFill>
    </fill>
    <fill>
      <patternFill patternType="solid">
        <fgColor rgb="FFFDE8E8"/>
        <bgColor rgb="FFFFF3E0"/>
      </patternFill>
    </fill>
    <fill>
      <patternFill patternType="solid">
        <fgColor rgb="FFF0F4FF"/>
        <bgColor rgb="FFF7F7F7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2D2D2D"/>
      </left>
      <right style="thin">
        <color rgb="FF2D2D2D"/>
      </right>
      <top style="thin">
        <color rgb="FF2D2D2D"/>
      </top>
      <bottom style="thin">
        <color rgb="FF2D2D2D"/>
      </bottom>
      <diagonal/>
    </border>
    <border diagonalUp="false" diagonalDown="false"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1A6B3C"/>
      </left>
      <right/>
      <top style="thin">
        <color rgb="FF1A6B3C"/>
      </top>
      <bottom style="thin">
        <color rgb="FF1A6B3C"/>
      </bottom>
      <diagonal/>
    </border>
    <border diagonalUp="false" diagonalDown="false">
      <left style="thin">
        <color rgb="FF925200"/>
      </left>
      <right/>
      <top style="thin">
        <color rgb="FF925200"/>
      </top>
      <bottom style="thin">
        <color rgb="FF925200"/>
      </bottom>
      <diagonal/>
    </border>
    <border diagonalUp="false" diagonalDown="false">
      <left style="thin">
        <color rgb="FF9B1C1C"/>
      </left>
      <right/>
      <top style="thin">
        <color rgb="FF9B1C1C"/>
      </top>
      <bottom style="thin">
        <color rgb="FF9B1C1C"/>
      </bottom>
      <diagonal/>
    </border>
    <border diagonalUp="false" diagonalDown="false">
      <left style="thin">
        <color rgb="FF1A6B3C"/>
      </left>
      <right style="thin">
        <color rgb="FF1A6B3C"/>
      </right>
      <top style="thin">
        <color rgb="FF1A6B3C"/>
      </top>
      <bottom style="thin">
        <color rgb="FF1A6B3C"/>
      </bottom>
      <diagonal/>
    </border>
    <border diagonalUp="false" diagonalDown="false">
      <left style="thin">
        <color rgb="FF925200"/>
      </left>
      <right style="thin">
        <color rgb="FF925200"/>
      </right>
      <top style="thin">
        <color rgb="FF925200"/>
      </top>
      <bottom style="thin">
        <color rgb="FF925200"/>
      </bottom>
      <diagonal/>
    </border>
    <border diagonalUp="false" diagonalDown="false">
      <left style="thin">
        <color rgb="FF9B1C1C"/>
      </left>
      <right style="thin">
        <color rgb="FF9B1C1C"/>
      </right>
      <top style="thin">
        <color rgb="FF9B1C1C"/>
      </top>
      <bottom style="thin">
        <color rgb="FF9B1C1C"/>
      </bottom>
      <diagonal/>
    </border>
    <border diagonalUp="false" diagonalDown="false"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 diagonalUp="false" diagonalDown="false">
      <left style="thin">
        <color rgb="FF1A3A6B"/>
      </left>
      <right/>
      <top style="thin">
        <color rgb="FF1A3A6B"/>
      </top>
      <bottom style="thin">
        <color rgb="FF1A3A6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1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3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1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1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1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A6B3C"/>
      <rgbColor rgb="FF000080"/>
      <rgbColor rgb="FF925200"/>
      <rgbColor rgb="FF800080"/>
      <rgbColor rgb="FF008080"/>
      <rgbColor rgb="FFC0C0C0"/>
      <rgbColor rgb="FF808080"/>
      <rgbColor rgb="FF9999FF"/>
      <rgbColor rgb="FF993366"/>
      <rgbColor rgb="FFFFF3E0"/>
      <rgbColor rgb="FFE6F4EC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7F7F7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9A9A"/>
      <rgbColor rgb="FF1A3A6B"/>
      <rgbColor rgb="FF339966"/>
      <rgbColor rgb="FF0A0A0A"/>
      <rgbColor rgb="FF1A1A1A"/>
      <rgbColor rgb="FF9B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B3C"/>
    <pageSetUpPr fitToPage="false"/>
  </sheetPr>
  <dimension ref="A1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20"/>
    <col collapsed="false" customWidth="true" hidden="false" outlineLevel="0" max="4" min="4" style="1" width="30"/>
    <col collapsed="false" customWidth="true" hidden="false" outlineLevel="0" max="5" min="5" style="1" width="3"/>
  </cols>
  <sheetData>
    <row r="1" customFormat="false" ht="30" hidden="false" customHeight="true" outlineLevel="0" collapsed="false">
      <c r="A1" s="2"/>
      <c r="B1" s="3" t="s">
        <v>0</v>
      </c>
      <c r="C1" s="3"/>
      <c r="D1" s="3"/>
      <c r="E1" s="2"/>
    </row>
    <row r="2" customFormat="false" ht="19.5" hidden="false" customHeight="true" outlineLevel="0" collapsed="false">
      <c r="B2" s="4" t="s">
        <v>1</v>
      </c>
      <c r="C2" s="4"/>
      <c r="D2" s="4"/>
    </row>
    <row r="4" customFormat="false" ht="21.75" hidden="false" customHeight="true" outlineLevel="0" collapsed="false">
      <c r="B4" s="5" t="s">
        <v>2</v>
      </c>
      <c r="C4" s="5" t="s">
        <v>3</v>
      </c>
      <c r="D4" s="5" t="s">
        <v>4</v>
      </c>
    </row>
    <row r="5" customFormat="false" ht="19.5" hidden="false" customHeight="true" outlineLevel="0" collapsed="false">
      <c r="B5" s="6" t="s">
        <v>5</v>
      </c>
      <c r="C5" s="6"/>
      <c r="D5" s="6"/>
    </row>
    <row r="6" customFormat="false" ht="21.75" hidden="false" customHeight="true" outlineLevel="0" collapsed="false">
      <c r="B6" s="7" t="s">
        <v>6</v>
      </c>
      <c r="C6" s="8"/>
      <c r="D6" s="9" t="s">
        <v>7</v>
      </c>
    </row>
    <row r="7" customFormat="false" ht="21.75" hidden="false" customHeight="true" outlineLevel="0" collapsed="false">
      <c r="B7" s="7" t="s">
        <v>8</v>
      </c>
      <c r="C7" s="8"/>
      <c r="D7" s="9" t="s">
        <v>7</v>
      </c>
    </row>
    <row r="8" customFormat="false" ht="21.75" hidden="false" customHeight="true" outlineLevel="0" collapsed="false">
      <c r="B8" s="7" t="s">
        <v>9</v>
      </c>
      <c r="C8" s="8"/>
      <c r="D8" s="9" t="s">
        <v>10</v>
      </c>
    </row>
    <row r="9" customFormat="false" ht="21.75" hidden="false" customHeight="true" outlineLevel="0" collapsed="false">
      <c r="B9" s="7" t="s">
        <v>11</v>
      </c>
      <c r="C9" s="8"/>
      <c r="D9" s="9" t="s">
        <v>12</v>
      </c>
    </row>
    <row r="11" customFormat="false" ht="19.5" hidden="false" customHeight="true" outlineLevel="0" collapsed="false">
      <c r="B11" s="6" t="s">
        <v>13</v>
      </c>
      <c r="C11" s="6"/>
      <c r="D11" s="6"/>
    </row>
    <row r="12" customFormat="false" ht="21.75" hidden="false" customHeight="true" outlineLevel="0" collapsed="false">
      <c r="B12" s="7" t="s">
        <v>14</v>
      </c>
      <c r="C12" s="10" t="n">
        <v>0</v>
      </c>
      <c r="D12" s="9" t="s">
        <v>15</v>
      </c>
    </row>
    <row r="13" customFormat="false" ht="21.75" hidden="false" customHeight="true" outlineLevel="0" collapsed="false">
      <c r="B13" s="7" t="s">
        <v>16</v>
      </c>
      <c r="C13" s="10" t="n">
        <v>0</v>
      </c>
      <c r="D13" s="9" t="s">
        <v>17</v>
      </c>
    </row>
    <row r="14" customFormat="false" ht="21.75" hidden="false" customHeight="true" outlineLevel="0" collapsed="false">
      <c r="B14" s="11" t="s">
        <v>18</v>
      </c>
      <c r="C14" s="12" t="n">
        <f aca="false">IFERROR(C12+C13,0)</f>
        <v>0</v>
      </c>
      <c r="D14" s="9" t="s">
        <v>19</v>
      </c>
    </row>
    <row r="15" customFormat="false" ht="21.75" hidden="false" customHeight="true" outlineLevel="0" collapsed="false">
      <c r="B15" s="7" t="s">
        <v>20</v>
      </c>
      <c r="C15" s="10" t="n">
        <v>0</v>
      </c>
      <c r="D15" s="9" t="s">
        <v>21</v>
      </c>
    </row>
    <row r="16" customFormat="false" ht="21.75" hidden="false" customHeight="true" outlineLevel="0" collapsed="false">
      <c r="B16" s="7" t="s">
        <v>22</v>
      </c>
      <c r="C16" s="10" t="n">
        <v>0</v>
      </c>
      <c r="D16" s="9" t="s">
        <v>23</v>
      </c>
    </row>
    <row r="18" customFormat="false" ht="19.5" hidden="false" customHeight="true" outlineLevel="0" collapsed="false">
      <c r="B18" s="6" t="s">
        <v>24</v>
      </c>
      <c r="C18" s="6"/>
      <c r="D18" s="6"/>
    </row>
    <row r="19" customFormat="false" ht="21.75" hidden="false" customHeight="true" outlineLevel="0" collapsed="false">
      <c r="B19" s="7" t="s">
        <v>25</v>
      </c>
      <c r="C19" s="10" t="n">
        <v>0</v>
      </c>
      <c r="D19" s="9" t="s">
        <v>26</v>
      </c>
    </row>
    <row r="20" customFormat="false" ht="21.75" hidden="false" customHeight="true" outlineLevel="0" collapsed="false">
      <c r="B20" s="7" t="s">
        <v>27</v>
      </c>
      <c r="C20" s="10" t="n">
        <v>0</v>
      </c>
      <c r="D20" s="9" t="s">
        <v>28</v>
      </c>
    </row>
    <row r="21" customFormat="false" ht="21.75" hidden="false" customHeight="true" outlineLevel="0" collapsed="false">
      <c r="B21" s="7" t="s">
        <v>29</v>
      </c>
      <c r="C21" s="10" t="n">
        <v>0</v>
      </c>
      <c r="D21" s="9" t="s">
        <v>30</v>
      </c>
    </row>
    <row r="22" customFormat="false" ht="21.75" hidden="false" customHeight="true" outlineLevel="0" collapsed="false">
      <c r="B22" s="7" t="s">
        <v>31</v>
      </c>
      <c r="C22" s="10" t="n">
        <v>0</v>
      </c>
      <c r="D22" s="9" t="s">
        <v>32</v>
      </c>
    </row>
    <row r="23" customFormat="false" ht="21.75" hidden="false" customHeight="true" outlineLevel="0" collapsed="false">
      <c r="B23" s="11" t="s">
        <v>33</v>
      </c>
      <c r="C23" s="12" t="n">
        <f aca="false">IFERROR(SUM(C19:C22),0)</f>
        <v>0</v>
      </c>
      <c r="D23" s="9" t="s">
        <v>34</v>
      </c>
    </row>
    <row r="25" customFormat="false" ht="19.5" hidden="false" customHeight="true" outlineLevel="0" collapsed="false">
      <c r="B25" s="6" t="s">
        <v>35</v>
      </c>
      <c r="C25" s="6"/>
      <c r="D25" s="6"/>
    </row>
    <row r="26" customFormat="false" ht="21.75" hidden="false" customHeight="true" outlineLevel="0" collapsed="false">
      <c r="B26" s="7" t="s">
        <v>36</v>
      </c>
      <c r="C26" s="10" t="n">
        <v>0</v>
      </c>
      <c r="D26" s="9" t="s">
        <v>37</v>
      </c>
    </row>
    <row r="27" customFormat="false" ht="21.75" hidden="false" customHeight="true" outlineLevel="0" collapsed="false">
      <c r="B27" s="7" t="s">
        <v>38</v>
      </c>
      <c r="C27" s="10" t="n">
        <v>0</v>
      </c>
      <c r="D27" s="9" t="s">
        <v>37</v>
      </c>
    </row>
    <row r="28" customFormat="false" ht="21.75" hidden="false" customHeight="true" outlineLevel="0" collapsed="false">
      <c r="B28" s="7" t="s">
        <v>39</v>
      </c>
      <c r="C28" s="10" t="n">
        <v>0</v>
      </c>
      <c r="D28" s="9" t="s">
        <v>37</v>
      </c>
    </row>
    <row r="29" customFormat="false" ht="21.75" hidden="false" customHeight="true" outlineLevel="0" collapsed="false">
      <c r="B29" s="7" t="s">
        <v>40</v>
      </c>
      <c r="C29" s="10" t="n">
        <v>0</v>
      </c>
      <c r="D29" s="9" t="s">
        <v>37</v>
      </c>
    </row>
    <row r="30" customFormat="false" ht="21.75" hidden="false" customHeight="true" outlineLevel="0" collapsed="false">
      <c r="B30" s="7" t="s">
        <v>41</v>
      </c>
      <c r="C30" s="10" t="n">
        <v>0</v>
      </c>
      <c r="D30" s="9" t="s">
        <v>37</v>
      </c>
    </row>
    <row r="31" customFormat="false" ht="21.75" hidden="false" customHeight="true" outlineLevel="0" collapsed="false">
      <c r="B31" s="7" t="s">
        <v>42</v>
      </c>
      <c r="C31" s="10" t="n">
        <v>0</v>
      </c>
      <c r="D31" s="9" t="s">
        <v>37</v>
      </c>
    </row>
    <row r="32" customFormat="false" ht="21.75" hidden="false" customHeight="true" outlineLevel="0" collapsed="false">
      <c r="B32" s="7" t="s">
        <v>43</v>
      </c>
      <c r="C32" s="10" t="n">
        <v>0</v>
      </c>
      <c r="D32" s="9" t="s">
        <v>37</v>
      </c>
    </row>
    <row r="33" customFormat="false" ht="21.75" hidden="false" customHeight="true" outlineLevel="0" collapsed="false">
      <c r="B33" s="7" t="s">
        <v>44</v>
      </c>
      <c r="C33" s="10" t="n">
        <v>0</v>
      </c>
      <c r="D33" s="9" t="s">
        <v>37</v>
      </c>
    </row>
    <row r="34" customFormat="false" ht="21.75" hidden="false" customHeight="true" outlineLevel="0" collapsed="false">
      <c r="B34" s="7" t="s">
        <v>45</v>
      </c>
      <c r="C34" s="10" t="n">
        <v>0</v>
      </c>
      <c r="D34" s="9" t="s">
        <v>37</v>
      </c>
    </row>
    <row r="35" customFormat="false" ht="21.75" hidden="false" customHeight="true" outlineLevel="0" collapsed="false">
      <c r="B35" s="11" t="s">
        <v>46</v>
      </c>
      <c r="C35" s="12" t="n">
        <f aca="false">IFERROR(SUM(C26:C34),0)</f>
        <v>0</v>
      </c>
      <c r="D35" s="9" t="s">
        <v>47</v>
      </c>
    </row>
    <row r="37" customFormat="false" ht="19.5" hidden="false" customHeight="true" outlineLevel="0" collapsed="false">
      <c r="B37" s="6" t="s">
        <v>48</v>
      </c>
      <c r="C37" s="6"/>
      <c r="D37" s="6"/>
    </row>
    <row r="38" customFormat="false" ht="27.75" hidden="false" customHeight="true" outlineLevel="0" collapsed="false">
      <c r="B38" s="13" t="s">
        <v>49</v>
      </c>
      <c r="C38" s="13"/>
      <c r="D38" s="13"/>
    </row>
    <row r="39" customFormat="false" ht="21.75" hidden="false" customHeight="true" outlineLevel="0" collapsed="false">
      <c r="B39" s="5" t="s">
        <v>50</v>
      </c>
      <c r="C39" s="5" t="s">
        <v>51</v>
      </c>
      <c r="D39" s="5" t="s">
        <v>52</v>
      </c>
    </row>
    <row r="40" customFormat="false" ht="24" hidden="false" customHeight="true" outlineLevel="0" collapsed="false">
      <c r="B40" s="7" t="s">
        <v>53</v>
      </c>
      <c r="C40" s="14" t="n">
        <v>0</v>
      </c>
      <c r="D40" s="14"/>
    </row>
    <row r="41" customFormat="false" ht="24" hidden="false" customHeight="true" outlineLevel="0" collapsed="false">
      <c r="B41" s="7" t="s">
        <v>54</v>
      </c>
      <c r="C41" s="14" t="n">
        <v>0</v>
      </c>
      <c r="D41" s="14"/>
    </row>
    <row r="43" customFormat="false" ht="21.75" hidden="false" customHeight="true" outlineLevel="0" collapsed="false">
      <c r="B43" s="5" t="s">
        <v>55</v>
      </c>
      <c r="C43" s="5" t="s">
        <v>56</v>
      </c>
      <c r="D43" s="5" t="s">
        <v>57</v>
      </c>
    </row>
    <row r="44" customFormat="false" ht="24" hidden="false" customHeight="true" outlineLevel="0" collapsed="false">
      <c r="B44" s="7" t="s">
        <v>58</v>
      </c>
      <c r="C44" s="14" t="n">
        <v>0</v>
      </c>
      <c r="D44" s="14" t="n">
        <v>0</v>
      </c>
    </row>
    <row r="45" customFormat="false" ht="24" hidden="false" customHeight="true" outlineLevel="0" collapsed="false">
      <c r="B45" s="7" t="s">
        <v>59</v>
      </c>
      <c r="C45" s="14" t="n">
        <v>0</v>
      </c>
      <c r="D45" s="14" t="n">
        <v>0</v>
      </c>
    </row>
    <row r="47" customFormat="false" ht="19.5" hidden="false" customHeight="true" outlineLevel="0" collapsed="false">
      <c r="B47" s="6" t="s">
        <v>60</v>
      </c>
      <c r="C47" s="6"/>
      <c r="D47" s="6"/>
    </row>
    <row r="48" customFormat="false" ht="21.75" hidden="false" customHeight="true" outlineLevel="0" collapsed="false">
      <c r="B48" s="5" t="s">
        <v>61</v>
      </c>
      <c r="C48" s="5" t="s">
        <v>62</v>
      </c>
      <c r="D48" s="5" t="s">
        <v>63</v>
      </c>
    </row>
    <row r="49" customFormat="false" ht="21.75" hidden="false" customHeight="true" outlineLevel="0" collapsed="false">
      <c r="B49" s="7" t="s">
        <v>64</v>
      </c>
      <c r="C49" s="10" t="n">
        <v>0</v>
      </c>
      <c r="D49" s="15" t="n">
        <v>0</v>
      </c>
    </row>
    <row r="50" customFormat="false" ht="21.75" hidden="false" customHeight="true" outlineLevel="0" collapsed="false">
      <c r="B50" s="7" t="s">
        <v>65</v>
      </c>
      <c r="C50" s="10" t="n">
        <v>0</v>
      </c>
      <c r="D50" s="15" t="n">
        <v>0</v>
      </c>
    </row>
    <row r="51" customFormat="false" ht="21.75" hidden="false" customHeight="true" outlineLevel="0" collapsed="false">
      <c r="B51" s="7" t="s">
        <v>66</v>
      </c>
      <c r="C51" s="10" t="n">
        <v>0</v>
      </c>
      <c r="D51" s="15" t="n">
        <v>0</v>
      </c>
    </row>
  </sheetData>
  <mergeCells count="9">
    <mergeCell ref="B1:D1"/>
    <mergeCell ref="B2:D2"/>
    <mergeCell ref="B5:D5"/>
    <mergeCell ref="B11:D11"/>
    <mergeCell ref="B18:D18"/>
    <mergeCell ref="B25:D25"/>
    <mergeCell ref="B37:D37"/>
    <mergeCell ref="B38:D38"/>
    <mergeCell ref="B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5200"/>
    <pageSetUpPr fitToPage="false"/>
  </sheetPr>
  <dimension ref="A1:AQ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14" min="3" style="1" width="12"/>
    <col collapsed="false" customWidth="true" hidden="false" outlineLevel="0" max="15" min="15" style="1" width="3"/>
    <col collapsed="false" customWidth="true" hidden="false" outlineLevel="0" max="27" min="16" style="1" width="12"/>
    <col collapsed="false" customWidth="true" hidden="false" outlineLevel="0" max="28" min="28" style="1" width="3"/>
    <col collapsed="false" customWidth="true" hidden="false" outlineLevel="0" max="40" min="29" style="1" width="12"/>
  </cols>
  <sheetData>
    <row r="1" customFormat="false" ht="27.75" hidden="false" customHeight="true" outlineLevel="0" collapsed="false">
      <c r="A1" s="2"/>
      <c r="B1" s="16" t="s">
        <v>67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2"/>
      <c r="AQ1" s="2"/>
    </row>
    <row r="2" customFormat="false" ht="21.75" hidden="false" customHeight="true" outlineLevel="0" collapsed="false">
      <c r="C2" s="17" t="s">
        <v>68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P2" s="18" t="s">
        <v>69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C2" s="19" t="s">
        <v>70</v>
      </c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</row>
    <row r="3" customFormat="false" ht="19.5" hidden="false" customHeight="true" outlineLevel="0" collapsed="false">
      <c r="B3" s="20" t="s">
        <v>71</v>
      </c>
      <c r="C3" s="21" t="s">
        <v>72</v>
      </c>
      <c r="D3" s="21" t="s">
        <v>73</v>
      </c>
      <c r="E3" s="21" t="s">
        <v>74</v>
      </c>
      <c r="F3" s="21" t="s">
        <v>75</v>
      </c>
      <c r="G3" s="21" t="s">
        <v>76</v>
      </c>
      <c r="H3" s="21" t="s">
        <v>77</v>
      </c>
      <c r="I3" s="21" t="s">
        <v>78</v>
      </c>
      <c r="J3" s="21" t="s">
        <v>79</v>
      </c>
      <c r="K3" s="21" t="s">
        <v>80</v>
      </c>
      <c r="L3" s="21" t="s">
        <v>81</v>
      </c>
      <c r="M3" s="21" t="s">
        <v>82</v>
      </c>
      <c r="N3" s="21" t="s">
        <v>83</v>
      </c>
      <c r="P3" s="22" t="s">
        <v>72</v>
      </c>
      <c r="Q3" s="22" t="s">
        <v>73</v>
      </c>
      <c r="R3" s="22" t="s">
        <v>74</v>
      </c>
      <c r="S3" s="22" t="s">
        <v>75</v>
      </c>
      <c r="T3" s="22" t="s">
        <v>76</v>
      </c>
      <c r="U3" s="22" t="s">
        <v>77</v>
      </c>
      <c r="V3" s="22" t="s">
        <v>78</v>
      </c>
      <c r="W3" s="22" t="s">
        <v>79</v>
      </c>
      <c r="X3" s="22" t="s">
        <v>80</v>
      </c>
      <c r="Y3" s="22" t="s">
        <v>81</v>
      </c>
      <c r="Z3" s="22" t="s">
        <v>82</v>
      </c>
      <c r="AA3" s="22" t="s">
        <v>83</v>
      </c>
      <c r="AC3" s="23" t="s">
        <v>72</v>
      </c>
      <c r="AD3" s="23" t="s">
        <v>73</v>
      </c>
      <c r="AE3" s="23" t="s">
        <v>74</v>
      </c>
      <c r="AF3" s="23" t="s">
        <v>75</v>
      </c>
      <c r="AG3" s="23" t="s">
        <v>76</v>
      </c>
      <c r="AH3" s="23" t="s">
        <v>77</v>
      </c>
      <c r="AI3" s="23" t="s">
        <v>78</v>
      </c>
      <c r="AJ3" s="23" t="s">
        <v>79</v>
      </c>
      <c r="AK3" s="23" t="s">
        <v>80</v>
      </c>
      <c r="AL3" s="23" t="s">
        <v>81</v>
      </c>
      <c r="AM3" s="23" t="s">
        <v>82</v>
      </c>
      <c r="AN3" s="23" t="s">
        <v>83</v>
      </c>
    </row>
    <row r="4" customFormat="false" ht="21.75" hidden="false" customHeight="true" outlineLevel="0" collapsed="false">
      <c r="B4" s="11" t="s">
        <v>84</v>
      </c>
      <c r="C4" s="24" t="n">
        <f aca="false">'Data Entry'!C14</f>
        <v>0</v>
      </c>
      <c r="D4" s="24" t="n">
        <f aca="false">IFERROR(C10,0)</f>
        <v>0</v>
      </c>
      <c r="E4" s="24" t="n">
        <f aca="false">IFERROR(D10,0)</f>
        <v>0</v>
      </c>
      <c r="F4" s="24" t="n">
        <f aca="false">IFERROR(E10,0)</f>
        <v>0</v>
      </c>
      <c r="G4" s="24" t="n">
        <f aca="false">IFERROR(F10,0)</f>
        <v>0</v>
      </c>
      <c r="H4" s="24" t="n">
        <f aca="false">IFERROR(G10,0)</f>
        <v>0</v>
      </c>
      <c r="I4" s="24" t="n">
        <f aca="false">IFERROR(H10,0)</f>
        <v>0</v>
      </c>
      <c r="J4" s="24" t="n">
        <f aca="false">IFERROR(I10,0)</f>
        <v>0</v>
      </c>
      <c r="K4" s="24" t="n">
        <f aca="false">IFERROR(J10,0)</f>
        <v>0</v>
      </c>
      <c r="L4" s="24" t="n">
        <f aca="false">IFERROR(K10,0)</f>
        <v>0</v>
      </c>
      <c r="M4" s="24" t="n">
        <f aca="false">IFERROR(L10,0)</f>
        <v>0</v>
      </c>
      <c r="N4" s="24" t="n">
        <f aca="false">IFERROR(M10,0)</f>
        <v>0</v>
      </c>
      <c r="P4" s="24" t="n">
        <f aca="false">'Data Entry'!C14</f>
        <v>0</v>
      </c>
      <c r="Q4" s="24" t="n">
        <f aca="false">IFERROR(P10,0)</f>
        <v>0</v>
      </c>
      <c r="R4" s="24" t="n">
        <f aca="false">IFERROR(Q10,0)</f>
        <v>0</v>
      </c>
      <c r="S4" s="24" t="n">
        <f aca="false">IFERROR(R10,0)</f>
        <v>0</v>
      </c>
      <c r="T4" s="24" t="n">
        <f aca="false">IFERROR(S10,0)</f>
        <v>0</v>
      </c>
      <c r="U4" s="24" t="n">
        <f aca="false">IFERROR(T10,0)</f>
        <v>0</v>
      </c>
      <c r="V4" s="24" t="n">
        <f aca="false">IFERROR(U10,0)</f>
        <v>0</v>
      </c>
      <c r="W4" s="24" t="n">
        <f aca="false">IFERROR(V10,0)</f>
        <v>0</v>
      </c>
      <c r="X4" s="24" t="n">
        <f aca="false">IFERROR(W10,0)</f>
        <v>0</v>
      </c>
      <c r="Y4" s="24" t="n">
        <f aca="false">IFERROR(X10,0)</f>
        <v>0</v>
      </c>
      <c r="Z4" s="24" t="n">
        <f aca="false">IFERROR(Y10,0)</f>
        <v>0</v>
      </c>
      <c r="AA4" s="24" t="n">
        <f aca="false">IFERROR(Z10,0)</f>
        <v>0</v>
      </c>
      <c r="AC4" s="24" t="n">
        <f aca="false">'Data Entry'!C14</f>
        <v>0</v>
      </c>
      <c r="AD4" s="24" t="n">
        <f aca="false">IFERROR(AC10,0)</f>
        <v>0</v>
      </c>
      <c r="AE4" s="24" t="n">
        <f aca="false">IFERROR(AD10,0)</f>
        <v>0</v>
      </c>
      <c r="AF4" s="24" t="n">
        <f aca="false">IFERROR(AE10,0)</f>
        <v>0</v>
      </c>
      <c r="AG4" s="24" t="n">
        <f aca="false">IFERROR(AF10,0)</f>
        <v>0</v>
      </c>
      <c r="AH4" s="24" t="n">
        <f aca="false">IFERROR(AG10,0)</f>
        <v>0</v>
      </c>
      <c r="AI4" s="24" t="n">
        <f aca="false">IFERROR(AH10,0)</f>
        <v>0</v>
      </c>
      <c r="AJ4" s="24" t="n">
        <f aca="false">IFERROR(AI10,0)</f>
        <v>0</v>
      </c>
      <c r="AK4" s="24" t="n">
        <f aca="false">IFERROR(AJ10,0)</f>
        <v>0</v>
      </c>
      <c r="AL4" s="24" t="n">
        <f aca="false">IFERROR(AK10,0)</f>
        <v>0</v>
      </c>
      <c r="AM4" s="24" t="n">
        <f aca="false">IFERROR(AL10,0)</f>
        <v>0</v>
      </c>
      <c r="AN4" s="24" t="n">
        <f aca="false">IFERROR(AM10,0)</f>
        <v>0</v>
      </c>
    </row>
    <row r="5" customFormat="false" ht="21.75" hidden="false" customHeight="true" outlineLevel="0" collapsed="false">
      <c r="B5" s="7" t="s">
        <v>85</v>
      </c>
      <c r="C5" s="24" t="n">
        <f aca="false">IFERROR(('Data Entry'!C23*(1+'Data Entry'!C40)^0)*(1-0),0)</f>
        <v>0</v>
      </c>
      <c r="D5" s="24" t="n">
        <f aca="false">IFERROR(('Data Entry'!C23*(1+'Data Entry'!C40)^1)*(1-0),0)</f>
        <v>0</v>
      </c>
      <c r="E5" s="24" t="n">
        <f aca="false">IFERROR(('Data Entry'!C23*(1+'Data Entry'!C40)^2)*(1-0),0)</f>
        <v>0</v>
      </c>
      <c r="F5" s="24" t="n">
        <f aca="false">IFERROR(('Data Entry'!C23*(1+'Data Entry'!C40)^3)*(1-0),0)</f>
        <v>0</v>
      </c>
      <c r="G5" s="24" t="n">
        <f aca="false">IFERROR(('Data Entry'!C23*(1+'Data Entry'!C40)^4)*(1-0),0)</f>
        <v>0</v>
      </c>
      <c r="H5" s="24" t="n">
        <f aca="false">IFERROR(('Data Entry'!C23*(1+'Data Entry'!C40)^5)*(1-0),0)</f>
        <v>0</v>
      </c>
      <c r="I5" s="24" t="n">
        <f aca="false">IFERROR(('Data Entry'!C23*(1+'Data Entry'!C40)^6)*(1-0),0)</f>
        <v>0</v>
      </c>
      <c r="J5" s="24" t="n">
        <f aca="false">IFERROR(('Data Entry'!C23*(1+'Data Entry'!C40)^7)*(1-0),0)</f>
        <v>0</v>
      </c>
      <c r="K5" s="24" t="n">
        <f aca="false">IFERROR(('Data Entry'!C23*(1+'Data Entry'!C40)^8)*(1-0),0)</f>
        <v>0</v>
      </c>
      <c r="L5" s="24" t="n">
        <f aca="false">IFERROR(('Data Entry'!C23*(1+'Data Entry'!C40)^9)*(1-0),0)</f>
        <v>0</v>
      </c>
      <c r="M5" s="24" t="n">
        <f aca="false">IFERROR(('Data Entry'!C23*(1+'Data Entry'!C40)^10)*(1-0),0)</f>
        <v>0</v>
      </c>
      <c r="N5" s="24" t="n">
        <f aca="false">IFERROR(('Data Entry'!C23*(1+'Data Entry'!C40)^11)*(1-0),0)</f>
        <v>0</v>
      </c>
      <c r="P5" s="24" t="n">
        <f aca="false">IFERROR(('Data Entry'!C23*(1+'Data Entry'!C40)^0)*(1-'Data Entry'!C44),0)</f>
        <v>0</v>
      </c>
      <c r="Q5" s="24" t="n">
        <f aca="false">IFERROR(('Data Entry'!C23*(1+'Data Entry'!C40)^1)*(1-'Data Entry'!C44),0)</f>
        <v>0</v>
      </c>
      <c r="R5" s="24" t="n">
        <f aca="false">IFERROR(('Data Entry'!C23*(1+'Data Entry'!C40)^2)*(1-'Data Entry'!C44),0)</f>
        <v>0</v>
      </c>
      <c r="S5" s="24" t="n">
        <f aca="false">IFERROR(('Data Entry'!C23*(1+'Data Entry'!C40)^3)*(1-'Data Entry'!C44),0)</f>
        <v>0</v>
      </c>
      <c r="T5" s="24" t="n">
        <f aca="false">IFERROR(('Data Entry'!C23*(1+'Data Entry'!C40)^4)*(1-'Data Entry'!C44),0)</f>
        <v>0</v>
      </c>
      <c r="U5" s="24" t="n">
        <f aca="false">IFERROR(('Data Entry'!C23*(1+'Data Entry'!C40)^5)*(1-'Data Entry'!C44),0)</f>
        <v>0</v>
      </c>
      <c r="V5" s="24" t="n">
        <f aca="false">IFERROR(('Data Entry'!C23*(1+'Data Entry'!C40)^6)*(1-'Data Entry'!C44),0)</f>
        <v>0</v>
      </c>
      <c r="W5" s="24" t="n">
        <f aca="false">IFERROR(('Data Entry'!C23*(1+'Data Entry'!C40)^7)*(1-'Data Entry'!C44),0)</f>
        <v>0</v>
      </c>
      <c r="X5" s="24" t="n">
        <f aca="false">IFERROR(('Data Entry'!C23*(1+'Data Entry'!C40)^8)*(1-'Data Entry'!C44),0)</f>
        <v>0</v>
      </c>
      <c r="Y5" s="24" t="n">
        <f aca="false">IFERROR(('Data Entry'!C23*(1+'Data Entry'!C40)^9)*(1-'Data Entry'!C44),0)</f>
        <v>0</v>
      </c>
      <c r="Z5" s="24" t="n">
        <f aca="false">IFERROR(('Data Entry'!C23*(1+'Data Entry'!C40)^10)*(1-'Data Entry'!C44),0)</f>
        <v>0</v>
      </c>
      <c r="AA5" s="24" t="n">
        <f aca="false">IFERROR(('Data Entry'!C23*(1+'Data Entry'!C40)^11)*(1-'Data Entry'!C44),0)</f>
        <v>0</v>
      </c>
      <c r="AC5" s="24" t="n">
        <f aca="false">IFERROR(('Data Entry'!C23*(1+'Data Entry'!C40)^0)*(1-'Data Entry'!D44),0)</f>
        <v>0</v>
      </c>
      <c r="AD5" s="24" t="n">
        <f aca="false">IFERROR(('Data Entry'!C23*(1+'Data Entry'!C40)^1)*(1-'Data Entry'!D44),0)</f>
        <v>0</v>
      </c>
      <c r="AE5" s="24" t="n">
        <f aca="false">IFERROR(('Data Entry'!C23*(1+'Data Entry'!C40)^2)*(1-'Data Entry'!D44),0)</f>
        <v>0</v>
      </c>
      <c r="AF5" s="24" t="n">
        <f aca="false">IFERROR(('Data Entry'!C23*(1+'Data Entry'!C40)^3)*(1-'Data Entry'!D44),0)</f>
        <v>0</v>
      </c>
      <c r="AG5" s="24" t="n">
        <f aca="false">IFERROR(('Data Entry'!C23*(1+'Data Entry'!C40)^4)*(1-'Data Entry'!D44),0)</f>
        <v>0</v>
      </c>
      <c r="AH5" s="24" t="n">
        <f aca="false">IFERROR(('Data Entry'!C23*(1+'Data Entry'!C40)^5)*(1-'Data Entry'!D44),0)</f>
        <v>0</v>
      </c>
      <c r="AI5" s="24" t="n">
        <f aca="false">IFERROR(('Data Entry'!C23*(1+'Data Entry'!C40)^6)*(1-'Data Entry'!D44),0)</f>
        <v>0</v>
      </c>
      <c r="AJ5" s="24" t="n">
        <f aca="false">IFERROR(('Data Entry'!C23*(1+'Data Entry'!C40)^7)*(1-'Data Entry'!D44),0)</f>
        <v>0</v>
      </c>
      <c r="AK5" s="24" t="n">
        <f aca="false">IFERROR(('Data Entry'!C23*(1+'Data Entry'!C40)^8)*(1-'Data Entry'!D44),0)</f>
        <v>0</v>
      </c>
      <c r="AL5" s="24" t="n">
        <f aca="false">IFERROR(('Data Entry'!C23*(1+'Data Entry'!C40)^9)*(1-'Data Entry'!D44),0)</f>
        <v>0</v>
      </c>
      <c r="AM5" s="24" t="n">
        <f aca="false">IFERROR(('Data Entry'!C23*(1+'Data Entry'!C40)^10)*(1-'Data Entry'!D44),0)</f>
        <v>0</v>
      </c>
      <c r="AN5" s="24" t="n">
        <f aca="false">IFERROR(('Data Entry'!C23*(1+'Data Entry'!C40)^11)*(1-'Data Entry'!D44),0)</f>
        <v>0</v>
      </c>
    </row>
    <row r="6" customFormat="false" ht="21.75" hidden="false" customHeight="true" outlineLevel="0" collapsed="false">
      <c r="B6" s="7" t="s">
        <v>86</v>
      </c>
      <c r="C6" s="24" t="n">
        <f aca="false">IFERROR(('Data Entry'!C35*(1+'Data Entry'!C41)^0)*(1+0),0)</f>
        <v>0</v>
      </c>
      <c r="D6" s="24" t="n">
        <f aca="false">IFERROR(('Data Entry'!C35*(1+'Data Entry'!C41)^1)*(1+0),0)</f>
        <v>0</v>
      </c>
      <c r="E6" s="24" t="n">
        <f aca="false">IFERROR(('Data Entry'!C35*(1+'Data Entry'!C41)^2)*(1+0),0)</f>
        <v>0</v>
      </c>
      <c r="F6" s="24" t="n">
        <f aca="false">IFERROR(('Data Entry'!C35*(1+'Data Entry'!C41)^3)*(1+0),0)</f>
        <v>0</v>
      </c>
      <c r="G6" s="24" t="n">
        <f aca="false">IFERROR(('Data Entry'!C35*(1+'Data Entry'!C41)^4)*(1+0),0)</f>
        <v>0</v>
      </c>
      <c r="H6" s="24" t="n">
        <f aca="false">IFERROR(('Data Entry'!C35*(1+'Data Entry'!C41)^5)*(1+0),0)</f>
        <v>0</v>
      </c>
      <c r="I6" s="24" t="n">
        <f aca="false">IFERROR(('Data Entry'!C35*(1+'Data Entry'!C41)^6)*(1+0),0)</f>
        <v>0</v>
      </c>
      <c r="J6" s="24" t="n">
        <f aca="false">IFERROR(('Data Entry'!C35*(1+'Data Entry'!C41)^7)*(1+0),0)</f>
        <v>0</v>
      </c>
      <c r="K6" s="24" t="n">
        <f aca="false">IFERROR(('Data Entry'!C35*(1+'Data Entry'!C41)^8)*(1+0),0)</f>
        <v>0</v>
      </c>
      <c r="L6" s="24" t="n">
        <f aca="false">IFERROR(('Data Entry'!C35*(1+'Data Entry'!C41)^9)*(1+0),0)</f>
        <v>0</v>
      </c>
      <c r="M6" s="24" t="n">
        <f aca="false">IFERROR(('Data Entry'!C35*(1+'Data Entry'!C41)^10)*(1+0),0)</f>
        <v>0</v>
      </c>
      <c r="N6" s="24" t="n">
        <f aca="false">IFERROR(('Data Entry'!C35*(1+'Data Entry'!C41)^11)*(1+0),0)</f>
        <v>0</v>
      </c>
      <c r="P6" s="24" t="n">
        <f aca="false">IFERROR(('Data Entry'!C35*(1+'Data Entry'!C41)^0)*(1+'Data Entry'!C45),0)</f>
        <v>0</v>
      </c>
      <c r="Q6" s="24" t="n">
        <f aca="false">IFERROR(('Data Entry'!C35*(1+'Data Entry'!C41)^1)*(1+'Data Entry'!C45),0)</f>
        <v>0</v>
      </c>
      <c r="R6" s="24" t="n">
        <f aca="false">IFERROR(('Data Entry'!C35*(1+'Data Entry'!C41)^2)*(1+'Data Entry'!C45),0)</f>
        <v>0</v>
      </c>
      <c r="S6" s="24" t="n">
        <f aca="false">IFERROR(('Data Entry'!C35*(1+'Data Entry'!C41)^3)*(1+'Data Entry'!C45),0)</f>
        <v>0</v>
      </c>
      <c r="T6" s="24" t="n">
        <f aca="false">IFERROR(('Data Entry'!C35*(1+'Data Entry'!C41)^4)*(1+'Data Entry'!C45),0)</f>
        <v>0</v>
      </c>
      <c r="U6" s="24" t="n">
        <f aca="false">IFERROR(('Data Entry'!C35*(1+'Data Entry'!C41)^5)*(1+'Data Entry'!C45),0)</f>
        <v>0</v>
      </c>
      <c r="V6" s="24" t="n">
        <f aca="false">IFERROR(('Data Entry'!C35*(1+'Data Entry'!C41)^6)*(1+'Data Entry'!C45),0)</f>
        <v>0</v>
      </c>
      <c r="W6" s="24" t="n">
        <f aca="false">IFERROR(('Data Entry'!C35*(1+'Data Entry'!C41)^7)*(1+'Data Entry'!C45),0)</f>
        <v>0</v>
      </c>
      <c r="X6" s="24" t="n">
        <f aca="false">IFERROR(('Data Entry'!C35*(1+'Data Entry'!C41)^8)*(1+'Data Entry'!C45),0)</f>
        <v>0</v>
      </c>
      <c r="Y6" s="24" t="n">
        <f aca="false">IFERROR(('Data Entry'!C35*(1+'Data Entry'!C41)^9)*(1+'Data Entry'!C45),0)</f>
        <v>0</v>
      </c>
      <c r="Z6" s="24" t="n">
        <f aca="false">IFERROR(('Data Entry'!C35*(1+'Data Entry'!C41)^10)*(1+'Data Entry'!C45),0)</f>
        <v>0</v>
      </c>
      <c r="AA6" s="24" t="n">
        <f aca="false">IFERROR(('Data Entry'!C35*(1+'Data Entry'!C41)^11)*(1+'Data Entry'!C45),0)</f>
        <v>0</v>
      </c>
      <c r="AC6" s="24" t="n">
        <f aca="false">IFERROR(('Data Entry'!C35*(1+'Data Entry'!C41)^0)*(1+'Data Entry'!D45),0)</f>
        <v>0</v>
      </c>
      <c r="AD6" s="24" t="n">
        <f aca="false">IFERROR(('Data Entry'!C35*(1+'Data Entry'!C41)^1)*(1+'Data Entry'!D45),0)</f>
        <v>0</v>
      </c>
      <c r="AE6" s="24" t="n">
        <f aca="false">IFERROR(('Data Entry'!C35*(1+'Data Entry'!C41)^2)*(1+'Data Entry'!D45),0)</f>
        <v>0</v>
      </c>
      <c r="AF6" s="24" t="n">
        <f aca="false">IFERROR(('Data Entry'!C35*(1+'Data Entry'!C41)^3)*(1+'Data Entry'!D45),0)</f>
        <v>0</v>
      </c>
      <c r="AG6" s="24" t="n">
        <f aca="false">IFERROR(('Data Entry'!C35*(1+'Data Entry'!C41)^4)*(1+'Data Entry'!D45),0)</f>
        <v>0</v>
      </c>
      <c r="AH6" s="24" t="n">
        <f aca="false">IFERROR(('Data Entry'!C35*(1+'Data Entry'!C41)^5)*(1+'Data Entry'!D45),0)</f>
        <v>0</v>
      </c>
      <c r="AI6" s="24" t="n">
        <f aca="false">IFERROR(('Data Entry'!C35*(1+'Data Entry'!C41)^6)*(1+'Data Entry'!D45),0)</f>
        <v>0</v>
      </c>
      <c r="AJ6" s="24" t="n">
        <f aca="false">IFERROR(('Data Entry'!C35*(1+'Data Entry'!C41)^7)*(1+'Data Entry'!D45),0)</f>
        <v>0</v>
      </c>
      <c r="AK6" s="24" t="n">
        <f aca="false">IFERROR(('Data Entry'!C35*(1+'Data Entry'!C41)^8)*(1+'Data Entry'!D45),0)</f>
        <v>0</v>
      </c>
      <c r="AL6" s="24" t="n">
        <f aca="false">IFERROR(('Data Entry'!C35*(1+'Data Entry'!C41)^9)*(1+'Data Entry'!D45),0)</f>
        <v>0</v>
      </c>
      <c r="AM6" s="24" t="n">
        <f aca="false">IFERROR(('Data Entry'!C35*(1+'Data Entry'!C41)^10)*(1+'Data Entry'!D45),0)</f>
        <v>0</v>
      </c>
      <c r="AN6" s="24" t="n">
        <f aca="false">IFERROR(('Data Entry'!C35*(1+'Data Entry'!C41)^11)*(1+'Data Entry'!D45),0)</f>
        <v>0</v>
      </c>
    </row>
    <row r="7" customFormat="false" ht="21.75" hidden="false" customHeight="true" outlineLevel="0" collapsed="false">
      <c r="B7" s="7" t="s">
        <v>87</v>
      </c>
      <c r="C7" s="24" t="n">
        <f aca="false">IFERROR(IF('Data Entry'!D49=1,'Data Entry'!C49,0)+IF('Data Entry'!D51=1,'Data Entry'!C51,0),0)</f>
        <v>0</v>
      </c>
      <c r="D7" s="24" t="n">
        <f aca="false">IFERROR(IF('Data Entry'!D49=2,'Data Entry'!C49,0)+IF('Data Entry'!D51=2,'Data Entry'!C51,0),0)</f>
        <v>0</v>
      </c>
      <c r="E7" s="24" t="n">
        <f aca="false">IFERROR(IF('Data Entry'!D49=3,'Data Entry'!C49,0)+IF('Data Entry'!D51=3,'Data Entry'!C51,0),0)</f>
        <v>0</v>
      </c>
      <c r="F7" s="24" t="n">
        <f aca="false">IFERROR(IF('Data Entry'!D49=4,'Data Entry'!C49,0)+IF('Data Entry'!D51=4,'Data Entry'!C51,0),0)</f>
        <v>0</v>
      </c>
      <c r="G7" s="24" t="n">
        <f aca="false">IFERROR(IF('Data Entry'!D49=5,'Data Entry'!C49,0)+IF('Data Entry'!D51=5,'Data Entry'!C51,0),0)</f>
        <v>0</v>
      </c>
      <c r="H7" s="24" t="n">
        <f aca="false">IFERROR(IF('Data Entry'!D49=6,'Data Entry'!C49,0)+IF('Data Entry'!D51=6,'Data Entry'!C51,0),0)</f>
        <v>0</v>
      </c>
      <c r="I7" s="24" t="n">
        <f aca="false">IFERROR(IF('Data Entry'!D49=7,'Data Entry'!C49,0)+IF('Data Entry'!D51=7,'Data Entry'!C51,0),0)</f>
        <v>0</v>
      </c>
      <c r="J7" s="24" t="n">
        <f aca="false">IFERROR(IF('Data Entry'!D49=8,'Data Entry'!C49,0)+IF('Data Entry'!D51=8,'Data Entry'!C51,0),0)</f>
        <v>0</v>
      </c>
      <c r="K7" s="24" t="n">
        <f aca="false">IFERROR(IF('Data Entry'!D49=9,'Data Entry'!C49,0)+IF('Data Entry'!D51=9,'Data Entry'!C51,0),0)</f>
        <v>0</v>
      </c>
      <c r="L7" s="24" t="n">
        <f aca="false">IFERROR(IF('Data Entry'!D49=10,'Data Entry'!C49,0)+IF('Data Entry'!D51=10,'Data Entry'!C51,0),0)</f>
        <v>0</v>
      </c>
      <c r="M7" s="24" t="n">
        <f aca="false">IFERROR(IF('Data Entry'!D49=11,'Data Entry'!C49,0)+IF('Data Entry'!D51=11,'Data Entry'!C51,0),0)</f>
        <v>0</v>
      </c>
      <c r="N7" s="24" t="n">
        <f aca="false">IFERROR(IF('Data Entry'!D49=12,'Data Entry'!C49,0)+IF('Data Entry'!D51=12,'Data Entry'!C51,0),0)</f>
        <v>0</v>
      </c>
      <c r="P7" s="24" t="n">
        <f aca="false">IFERROR(IF('Data Entry'!D49=1,'Data Entry'!C49,0)+IF('Data Entry'!D51=1,'Data Entry'!C51,0),0)</f>
        <v>0</v>
      </c>
      <c r="Q7" s="24" t="n">
        <f aca="false">IFERROR(IF('Data Entry'!D49=2,'Data Entry'!C49,0)+IF('Data Entry'!D51=2,'Data Entry'!C51,0),0)</f>
        <v>0</v>
      </c>
      <c r="R7" s="24" t="n">
        <f aca="false">IFERROR(IF('Data Entry'!D49=3,'Data Entry'!C49,0)+IF('Data Entry'!D51=3,'Data Entry'!C51,0),0)</f>
        <v>0</v>
      </c>
      <c r="S7" s="24" t="n">
        <f aca="false">IFERROR(IF('Data Entry'!D49=4,'Data Entry'!C49,0)+IF('Data Entry'!D51=4,'Data Entry'!C51,0),0)</f>
        <v>0</v>
      </c>
      <c r="T7" s="24" t="n">
        <f aca="false">IFERROR(IF('Data Entry'!D49=5,'Data Entry'!C49,0)+IF('Data Entry'!D51=5,'Data Entry'!C51,0),0)</f>
        <v>0</v>
      </c>
      <c r="U7" s="24" t="n">
        <f aca="false">IFERROR(IF('Data Entry'!D49=6,'Data Entry'!C49,0)+IF('Data Entry'!D51=6,'Data Entry'!C51,0),0)</f>
        <v>0</v>
      </c>
      <c r="V7" s="24" t="n">
        <f aca="false">IFERROR(IF('Data Entry'!D49=7,'Data Entry'!C49,0)+IF('Data Entry'!D51=7,'Data Entry'!C51,0),0)</f>
        <v>0</v>
      </c>
      <c r="W7" s="24" t="n">
        <f aca="false">IFERROR(IF('Data Entry'!D49=8,'Data Entry'!C49,0)+IF('Data Entry'!D51=8,'Data Entry'!C51,0),0)</f>
        <v>0</v>
      </c>
      <c r="X7" s="24" t="n">
        <f aca="false">IFERROR(IF('Data Entry'!D49=9,'Data Entry'!C49,0)+IF('Data Entry'!D51=9,'Data Entry'!C51,0),0)</f>
        <v>0</v>
      </c>
      <c r="Y7" s="24" t="n">
        <f aca="false">IFERROR(IF('Data Entry'!D49=10,'Data Entry'!C49,0)+IF('Data Entry'!D51=10,'Data Entry'!C51,0),0)</f>
        <v>0</v>
      </c>
      <c r="Z7" s="24" t="n">
        <f aca="false">IFERROR(IF('Data Entry'!D49=11,'Data Entry'!C49,0)+IF('Data Entry'!D51=11,'Data Entry'!C51,0),0)</f>
        <v>0</v>
      </c>
      <c r="AA7" s="24" t="n">
        <f aca="false">IFERROR(IF('Data Entry'!D49=12,'Data Entry'!C49,0)+IF('Data Entry'!D51=12,'Data Entry'!C51,0),0)</f>
        <v>0</v>
      </c>
      <c r="AC7" s="24" t="n">
        <f aca="false">IFERROR(IF('Data Entry'!D49=1,'Data Entry'!C49,0)+IF('Data Entry'!D51=1,'Data Entry'!C51,0),0)</f>
        <v>0</v>
      </c>
      <c r="AD7" s="24" t="n">
        <f aca="false">IFERROR(IF('Data Entry'!D49=2,'Data Entry'!C49,0)+IF('Data Entry'!D51=2,'Data Entry'!C51,0),0)</f>
        <v>0</v>
      </c>
      <c r="AE7" s="24" t="n">
        <f aca="false">IFERROR(IF('Data Entry'!D49=3,'Data Entry'!C49,0)+IF('Data Entry'!D51=3,'Data Entry'!C51,0),0)</f>
        <v>0</v>
      </c>
      <c r="AF7" s="24" t="n">
        <f aca="false">IFERROR(IF('Data Entry'!D49=4,'Data Entry'!C49,0)+IF('Data Entry'!D51=4,'Data Entry'!C51,0),0)</f>
        <v>0</v>
      </c>
      <c r="AG7" s="24" t="n">
        <f aca="false">IFERROR(IF('Data Entry'!D49=5,'Data Entry'!C49,0)+IF('Data Entry'!D51=5,'Data Entry'!C51,0),0)</f>
        <v>0</v>
      </c>
      <c r="AH7" s="24" t="n">
        <f aca="false">IFERROR(IF('Data Entry'!D49=6,'Data Entry'!C49,0)+IF('Data Entry'!D51=6,'Data Entry'!C51,0),0)</f>
        <v>0</v>
      </c>
      <c r="AI7" s="24" t="n">
        <f aca="false">IFERROR(IF('Data Entry'!D49=7,'Data Entry'!C49,0)+IF('Data Entry'!D51=7,'Data Entry'!C51,0),0)</f>
        <v>0</v>
      </c>
      <c r="AJ7" s="24" t="n">
        <f aca="false">IFERROR(IF('Data Entry'!D49=8,'Data Entry'!C49,0)+IF('Data Entry'!D51=8,'Data Entry'!C51,0),0)</f>
        <v>0</v>
      </c>
      <c r="AK7" s="24" t="n">
        <f aca="false">IFERROR(IF('Data Entry'!D49=9,'Data Entry'!C49,0)+IF('Data Entry'!D51=9,'Data Entry'!C51,0),0)</f>
        <v>0</v>
      </c>
      <c r="AL7" s="24" t="n">
        <f aca="false">IFERROR(IF('Data Entry'!D49=10,'Data Entry'!C49,0)+IF('Data Entry'!D51=10,'Data Entry'!C51,0),0)</f>
        <v>0</v>
      </c>
      <c r="AM7" s="24" t="n">
        <f aca="false">IFERROR(IF('Data Entry'!D49=11,'Data Entry'!C49,0)+IF('Data Entry'!D51=11,'Data Entry'!C51,0),0)</f>
        <v>0</v>
      </c>
      <c r="AN7" s="24" t="n">
        <f aca="false">IFERROR(IF('Data Entry'!D49=12,'Data Entry'!C49,0)+IF('Data Entry'!D51=12,'Data Entry'!C51,0),0)</f>
        <v>0</v>
      </c>
    </row>
    <row r="8" customFormat="false" ht="21.75" hidden="false" customHeight="true" outlineLevel="0" collapsed="false">
      <c r="B8" s="7" t="s">
        <v>88</v>
      </c>
      <c r="C8" s="24" t="n">
        <f aca="false">IFERROR(IF('Data Entry'!D50=1,'Data Entry'!C50,0),0)</f>
        <v>0</v>
      </c>
      <c r="D8" s="24" t="n">
        <f aca="false">IFERROR(IF('Data Entry'!D50=2,'Data Entry'!C50,0),0)</f>
        <v>0</v>
      </c>
      <c r="E8" s="24" t="n">
        <f aca="false">IFERROR(IF('Data Entry'!D50=3,'Data Entry'!C50,0),0)</f>
        <v>0</v>
      </c>
      <c r="F8" s="24" t="n">
        <f aca="false">IFERROR(IF('Data Entry'!D50=4,'Data Entry'!C50,0),0)</f>
        <v>0</v>
      </c>
      <c r="G8" s="24" t="n">
        <f aca="false">IFERROR(IF('Data Entry'!D50=5,'Data Entry'!C50,0),0)</f>
        <v>0</v>
      </c>
      <c r="H8" s="24" t="n">
        <f aca="false">IFERROR(IF('Data Entry'!D50=6,'Data Entry'!C50,0),0)</f>
        <v>0</v>
      </c>
      <c r="I8" s="24" t="n">
        <f aca="false">IFERROR(IF('Data Entry'!D50=7,'Data Entry'!C50,0),0)</f>
        <v>0</v>
      </c>
      <c r="J8" s="24" t="n">
        <f aca="false">IFERROR(IF('Data Entry'!D50=8,'Data Entry'!C50,0),0)</f>
        <v>0</v>
      </c>
      <c r="K8" s="24" t="n">
        <f aca="false">IFERROR(IF('Data Entry'!D50=9,'Data Entry'!C50,0),0)</f>
        <v>0</v>
      </c>
      <c r="L8" s="24" t="n">
        <f aca="false">IFERROR(IF('Data Entry'!D50=10,'Data Entry'!C50,0),0)</f>
        <v>0</v>
      </c>
      <c r="M8" s="24" t="n">
        <f aca="false">IFERROR(IF('Data Entry'!D50=11,'Data Entry'!C50,0),0)</f>
        <v>0</v>
      </c>
      <c r="N8" s="24" t="n">
        <f aca="false">IFERROR(IF('Data Entry'!D50=12,'Data Entry'!C50,0),0)</f>
        <v>0</v>
      </c>
      <c r="P8" s="24" t="n">
        <f aca="false">IFERROR(IF('Data Entry'!D50=1,'Data Entry'!C50,0),0)</f>
        <v>0</v>
      </c>
      <c r="Q8" s="24" t="n">
        <f aca="false">IFERROR(IF('Data Entry'!D50=2,'Data Entry'!C50,0),0)</f>
        <v>0</v>
      </c>
      <c r="R8" s="24" t="n">
        <f aca="false">IFERROR(IF('Data Entry'!D50=3,'Data Entry'!C50,0),0)</f>
        <v>0</v>
      </c>
      <c r="S8" s="24" t="n">
        <f aca="false">IFERROR(IF('Data Entry'!D50=4,'Data Entry'!C50,0),0)</f>
        <v>0</v>
      </c>
      <c r="T8" s="24" t="n">
        <f aca="false">IFERROR(IF('Data Entry'!D50=5,'Data Entry'!C50,0),0)</f>
        <v>0</v>
      </c>
      <c r="U8" s="24" t="n">
        <f aca="false">IFERROR(IF('Data Entry'!D50=6,'Data Entry'!C50,0),0)</f>
        <v>0</v>
      </c>
      <c r="V8" s="24" t="n">
        <f aca="false">IFERROR(IF('Data Entry'!D50=7,'Data Entry'!C50,0),0)</f>
        <v>0</v>
      </c>
      <c r="W8" s="24" t="n">
        <f aca="false">IFERROR(IF('Data Entry'!D50=8,'Data Entry'!C50,0),0)</f>
        <v>0</v>
      </c>
      <c r="X8" s="24" t="n">
        <f aca="false">IFERROR(IF('Data Entry'!D50=9,'Data Entry'!C50,0),0)</f>
        <v>0</v>
      </c>
      <c r="Y8" s="24" t="n">
        <f aca="false">IFERROR(IF('Data Entry'!D50=10,'Data Entry'!C50,0),0)</f>
        <v>0</v>
      </c>
      <c r="Z8" s="24" t="n">
        <f aca="false">IFERROR(IF('Data Entry'!D50=11,'Data Entry'!C50,0),0)</f>
        <v>0</v>
      </c>
      <c r="AA8" s="24" t="n">
        <f aca="false">IFERROR(IF('Data Entry'!D50=12,'Data Entry'!C50,0),0)</f>
        <v>0</v>
      </c>
      <c r="AC8" s="24" t="n">
        <f aca="false">IFERROR(IF('Data Entry'!D50=1,'Data Entry'!C50,0),0)</f>
        <v>0</v>
      </c>
      <c r="AD8" s="24" t="n">
        <f aca="false">IFERROR(IF('Data Entry'!D50=2,'Data Entry'!C50,0),0)</f>
        <v>0</v>
      </c>
      <c r="AE8" s="24" t="n">
        <f aca="false">IFERROR(IF('Data Entry'!D50=3,'Data Entry'!C50,0),0)</f>
        <v>0</v>
      </c>
      <c r="AF8" s="24" t="n">
        <f aca="false">IFERROR(IF('Data Entry'!D50=4,'Data Entry'!C50,0),0)</f>
        <v>0</v>
      </c>
      <c r="AG8" s="24" t="n">
        <f aca="false">IFERROR(IF('Data Entry'!D50=5,'Data Entry'!C50,0),0)</f>
        <v>0</v>
      </c>
      <c r="AH8" s="24" t="n">
        <f aca="false">IFERROR(IF('Data Entry'!D50=6,'Data Entry'!C50,0),0)</f>
        <v>0</v>
      </c>
      <c r="AI8" s="24" t="n">
        <f aca="false">IFERROR(IF('Data Entry'!D50=7,'Data Entry'!C50,0),0)</f>
        <v>0</v>
      </c>
      <c r="AJ8" s="24" t="n">
        <f aca="false">IFERROR(IF('Data Entry'!D50=8,'Data Entry'!C50,0),0)</f>
        <v>0</v>
      </c>
      <c r="AK8" s="24" t="n">
        <f aca="false">IFERROR(IF('Data Entry'!D50=9,'Data Entry'!C50,0),0)</f>
        <v>0</v>
      </c>
      <c r="AL8" s="24" t="n">
        <f aca="false">IFERROR(IF('Data Entry'!D50=10,'Data Entry'!C50,0),0)</f>
        <v>0</v>
      </c>
      <c r="AM8" s="24" t="n">
        <f aca="false">IFERROR(IF('Data Entry'!D50=11,'Data Entry'!C50,0),0)</f>
        <v>0</v>
      </c>
      <c r="AN8" s="24" t="n">
        <f aca="false">IFERROR(IF('Data Entry'!D50=12,'Data Entry'!C50,0),0)</f>
        <v>0</v>
      </c>
    </row>
    <row r="9" customFormat="false" ht="21.75" hidden="false" customHeight="true" outlineLevel="0" collapsed="false">
      <c r="B9" s="11" t="s">
        <v>89</v>
      </c>
      <c r="C9" s="25" t="n">
        <f aca="false">IFERROR(C5-C6+C7-C8,0)</f>
        <v>0</v>
      </c>
      <c r="D9" s="25" t="n">
        <f aca="false">IFERROR(D5-D6+D7-D8,0)</f>
        <v>0</v>
      </c>
      <c r="E9" s="25" t="n">
        <f aca="false">IFERROR(E5-E6+E7-E8,0)</f>
        <v>0</v>
      </c>
      <c r="F9" s="25" t="n">
        <f aca="false">IFERROR(F5-F6+F7-F8,0)</f>
        <v>0</v>
      </c>
      <c r="G9" s="25" t="n">
        <f aca="false">IFERROR(G5-G6+G7-G8,0)</f>
        <v>0</v>
      </c>
      <c r="H9" s="25" t="n">
        <f aca="false">IFERROR(H5-H6+H7-H8,0)</f>
        <v>0</v>
      </c>
      <c r="I9" s="25" t="n">
        <f aca="false">IFERROR(I5-I6+I7-I8,0)</f>
        <v>0</v>
      </c>
      <c r="J9" s="25" t="n">
        <f aca="false">IFERROR(J5-J6+J7-J8,0)</f>
        <v>0</v>
      </c>
      <c r="K9" s="25" t="n">
        <f aca="false">IFERROR(K5-K6+K7-K8,0)</f>
        <v>0</v>
      </c>
      <c r="L9" s="25" t="n">
        <f aca="false">IFERROR(L5-L6+L7-L8,0)</f>
        <v>0</v>
      </c>
      <c r="M9" s="25" t="n">
        <f aca="false">IFERROR(M5-M6+M7-M8,0)</f>
        <v>0</v>
      </c>
      <c r="N9" s="25" t="n">
        <f aca="false">IFERROR(N5-N6+N7-N8,0)</f>
        <v>0</v>
      </c>
      <c r="P9" s="25" t="n">
        <f aca="false">IFERROR(P5-P6+P7-P8,0)</f>
        <v>0</v>
      </c>
      <c r="Q9" s="25" t="n">
        <f aca="false">IFERROR(Q5-Q6+Q7-Q8,0)</f>
        <v>0</v>
      </c>
      <c r="R9" s="25" t="n">
        <f aca="false">IFERROR(R5-R6+R7-R8,0)</f>
        <v>0</v>
      </c>
      <c r="S9" s="25" t="n">
        <f aca="false">IFERROR(S5-S6+S7-S8,0)</f>
        <v>0</v>
      </c>
      <c r="T9" s="25" t="n">
        <f aca="false">IFERROR(T5-T6+T7-T8,0)</f>
        <v>0</v>
      </c>
      <c r="U9" s="25" t="n">
        <f aca="false">IFERROR(U5-U6+U7-U8,0)</f>
        <v>0</v>
      </c>
      <c r="V9" s="25" t="n">
        <f aca="false">IFERROR(V5-V6+V7-V8,0)</f>
        <v>0</v>
      </c>
      <c r="W9" s="25" t="n">
        <f aca="false">IFERROR(W5-W6+W7-W8,0)</f>
        <v>0</v>
      </c>
      <c r="X9" s="25" t="n">
        <f aca="false">IFERROR(X5-X6+X7-X8,0)</f>
        <v>0</v>
      </c>
      <c r="Y9" s="25" t="n">
        <f aca="false">IFERROR(Y5-Y6+Y7-Y8,0)</f>
        <v>0</v>
      </c>
      <c r="Z9" s="25" t="n">
        <f aca="false">IFERROR(Z5-Z6+Z7-Z8,0)</f>
        <v>0</v>
      </c>
      <c r="AA9" s="25" t="n">
        <f aca="false">IFERROR(AA5-AA6+AA7-AA8,0)</f>
        <v>0</v>
      </c>
      <c r="AC9" s="25" t="n">
        <f aca="false">IFERROR(AC5-AC6+AC7-AC8,0)</f>
        <v>0</v>
      </c>
      <c r="AD9" s="25" t="n">
        <f aca="false">IFERROR(AD5-AD6+AD7-AD8,0)</f>
        <v>0</v>
      </c>
      <c r="AE9" s="25" t="n">
        <f aca="false">IFERROR(AE5-AE6+AE7-AE8,0)</f>
        <v>0</v>
      </c>
      <c r="AF9" s="25" t="n">
        <f aca="false">IFERROR(AF5-AF6+AF7-AF8,0)</f>
        <v>0</v>
      </c>
      <c r="AG9" s="25" t="n">
        <f aca="false">IFERROR(AG5-AG6+AG7-AG8,0)</f>
        <v>0</v>
      </c>
      <c r="AH9" s="25" t="n">
        <f aca="false">IFERROR(AH5-AH6+AH7-AH8,0)</f>
        <v>0</v>
      </c>
      <c r="AI9" s="25" t="n">
        <f aca="false">IFERROR(AI5-AI6+AI7-AI8,0)</f>
        <v>0</v>
      </c>
      <c r="AJ9" s="25" t="n">
        <f aca="false">IFERROR(AJ5-AJ6+AJ7-AJ8,0)</f>
        <v>0</v>
      </c>
      <c r="AK9" s="25" t="n">
        <f aca="false">IFERROR(AK5-AK6+AK7-AK8,0)</f>
        <v>0</v>
      </c>
      <c r="AL9" s="25" t="n">
        <f aca="false">IFERROR(AL5-AL6+AL7-AL8,0)</f>
        <v>0</v>
      </c>
      <c r="AM9" s="25" t="n">
        <f aca="false">IFERROR(AM5-AM6+AM7-AM8,0)</f>
        <v>0</v>
      </c>
      <c r="AN9" s="25" t="n">
        <f aca="false">IFERROR(AN5-AN6+AN7-AN8,0)</f>
        <v>0</v>
      </c>
    </row>
    <row r="10" customFormat="false" ht="21.75" hidden="false" customHeight="true" outlineLevel="0" collapsed="false">
      <c r="B10" s="11" t="s">
        <v>90</v>
      </c>
      <c r="C10" s="25" t="n">
        <f aca="false">IFERROR(C4+C9,0)</f>
        <v>0</v>
      </c>
      <c r="D10" s="25" t="n">
        <f aca="false">IFERROR(D4+D9,0)</f>
        <v>0</v>
      </c>
      <c r="E10" s="25" t="n">
        <f aca="false">IFERROR(E4+E9,0)</f>
        <v>0</v>
      </c>
      <c r="F10" s="25" t="n">
        <f aca="false">IFERROR(F4+F9,0)</f>
        <v>0</v>
      </c>
      <c r="G10" s="25" t="n">
        <f aca="false">IFERROR(G4+G9,0)</f>
        <v>0</v>
      </c>
      <c r="H10" s="25" t="n">
        <f aca="false">IFERROR(H4+H9,0)</f>
        <v>0</v>
      </c>
      <c r="I10" s="25" t="n">
        <f aca="false">IFERROR(I4+I9,0)</f>
        <v>0</v>
      </c>
      <c r="J10" s="25" t="n">
        <f aca="false">IFERROR(J4+J9,0)</f>
        <v>0</v>
      </c>
      <c r="K10" s="25" t="n">
        <f aca="false">IFERROR(K4+K9,0)</f>
        <v>0</v>
      </c>
      <c r="L10" s="25" t="n">
        <f aca="false">IFERROR(L4+L9,0)</f>
        <v>0</v>
      </c>
      <c r="M10" s="25" t="n">
        <f aca="false">IFERROR(M4+M9,0)</f>
        <v>0</v>
      </c>
      <c r="N10" s="25" t="n">
        <f aca="false">IFERROR(N4+N9,0)</f>
        <v>0</v>
      </c>
      <c r="P10" s="25" t="n">
        <f aca="false">IFERROR(P4+P9,0)</f>
        <v>0</v>
      </c>
      <c r="Q10" s="25" t="n">
        <f aca="false">IFERROR(Q4+Q9,0)</f>
        <v>0</v>
      </c>
      <c r="R10" s="25" t="n">
        <f aca="false">IFERROR(R4+R9,0)</f>
        <v>0</v>
      </c>
      <c r="S10" s="25" t="n">
        <f aca="false">IFERROR(S4+S9,0)</f>
        <v>0</v>
      </c>
      <c r="T10" s="25" t="n">
        <f aca="false">IFERROR(T4+T9,0)</f>
        <v>0</v>
      </c>
      <c r="U10" s="25" t="n">
        <f aca="false">IFERROR(U4+U9,0)</f>
        <v>0</v>
      </c>
      <c r="V10" s="25" t="n">
        <f aca="false">IFERROR(V4+V9,0)</f>
        <v>0</v>
      </c>
      <c r="W10" s="25" t="n">
        <f aca="false">IFERROR(W4+W9,0)</f>
        <v>0</v>
      </c>
      <c r="X10" s="25" t="n">
        <f aca="false">IFERROR(X4+X9,0)</f>
        <v>0</v>
      </c>
      <c r="Y10" s="25" t="n">
        <f aca="false">IFERROR(Y4+Y9,0)</f>
        <v>0</v>
      </c>
      <c r="Z10" s="25" t="n">
        <f aca="false">IFERROR(Z4+Z9,0)</f>
        <v>0</v>
      </c>
      <c r="AA10" s="25" t="n">
        <f aca="false">IFERROR(AA4+AA9,0)</f>
        <v>0</v>
      </c>
      <c r="AC10" s="25" t="n">
        <f aca="false">IFERROR(AC4+AC9,0)</f>
        <v>0</v>
      </c>
      <c r="AD10" s="25" t="n">
        <f aca="false">IFERROR(AD4+AD9,0)</f>
        <v>0</v>
      </c>
      <c r="AE10" s="25" t="n">
        <f aca="false">IFERROR(AE4+AE9,0)</f>
        <v>0</v>
      </c>
      <c r="AF10" s="25" t="n">
        <f aca="false">IFERROR(AF4+AF9,0)</f>
        <v>0</v>
      </c>
      <c r="AG10" s="25" t="n">
        <f aca="false">IFERROR(AG4+AG9,0)</f>
        <v>0</v>
      </c>
      <c r="AH10" s="25" t="n">
        <f aca="false">IFERROR(AH4+AH9,0)</f>
        <v>0</v>
      </c>
      <c r="AI10" s="25" t="n">
        <f aca="false">IFERROR(AI4+AI9,0)</f>
        <v>0</v>
      </c>
      <c r="AJ10" s="25" t="n">
        <f aca="false">IFERROR(AJ4+AJ9,0)</f>
        <v>0</v>
      </c>
      <c r="AK10" s="25" t="n">
        <f aca="false">IFERROR(AK4+AK9,0)</f>
        <v>0</v>
      </c>
      <c r="AL10" s="25" t="n">
        <f aca="false">IFERROR(AL4+AL9,0)</f>
        <v>0</v>
      </c>
      <c r="AM10" s="25" t="n">
        <f aca="false">IFERROR(AM4+AM9,0)</f>
        <v>0</v>
      </c>
      <c r="AN10" s="25" t="n">
        <f aca="false">IFERROR(AN4+AN9,0)</f>
        <v>0</v>
      </c>
    </row>
    <row r="11" customFormat="false" ht="21.75" hidden="false" customHeight="true" outlineLevel="0" collapsed="false">
      <c r="B11" s="7" t="s">
        <v>91</v>
      </c>
      <c r="C11" s="26" t="str">
        <f aca="false">IFERROR(IF(C10&lt;=0,"⚠ ZERO","OK"),"")</f>
        <v>⚠ ZERO</v>
      </c>
      <c r="D11" s="26" t="str">
        <f aca="false">IFERROR(IF(D10&lt;=0,"⚠ ZERO","OK"),"")</f>
        <v>⚠ ZERO</v>
      </c>
      <c r="E11" s="26" t="str">
        <f aca="false">IFERROR(IF(E10&lt;=0,"⚠ ZERO","OK"),"")</f>
        <v>⚠ ZERO</v>
      </c>
      <c r="F11" s="26" t="str">
        <f aca="false">IFERROR(IF(F10&lt;=0,"⚠ ZERO","OK"),"")</f>
        <v>⚠ ZERO</v>
      </c>
      <c r="G11" s="26" t="str">
        <f aca="false">IFERROR(IF(G10&lt;=0,"⚠ ZERO","OK"),"")</f>
        <v>⚠ ZERO</v>
      </c>
      <c r="H11" s="26" t="str">
        <f aca="false">IFERROR(IF(H10&lt;=0,"⚠ ZERO","OK"),"")</f>
        <v>⚠ ZERO</v>
      </c>
      <c r="I11" s="26" t="str">
        <f aca="false">IFERROR(IF(I10&lt;=0,"⚠ ZERO","OK"),"")</f>
        <v>⚠ ZERO</v>
      </c>
      <c r="J11" s="26" t="str">
        <f aca="false">IFERROR(IF(J10&lt;=0,"⚠ ZERO","OK"),"")</f>
        <v>⚠ ZERO</v>
      </c>
      <c r="K11" s="26" t="str">
        <f aca="false">IFERROR(IF(K10&lt;=0,"⚠ ZERO","OK"),"")</f>
        <v>⚠ ZERO</v>
      </c>
      <c r="L11" s="26" t="str">
        <f aca="false">IFERROR(IF(L10&lt;=0,"⚠ ZERO","OK"),"")</f>
        <v>⚠ ZERO</v>
      </c>
      <c r="M11" s="26" t="str">
        <f aca="false">IFERROR(IF(M10&lt;=0,"⚠ ZERO","OK"),"")</f>
        <v>⚠ ZERO</v>
      </c>
      <c r="N11" s="26" t="str">
        <f aca="false">IFERROR(IF(N10&lt;=0,"⚠ ZERO","OK"),"")</f>
        <v>⚠ ZERO</v>
      </c>
      <c r="P11" s="26" t="str">
        <f aca="false">IFERROR(IF(P10&lt;=0,"⚠ ZERO","OK"),"")</f>
        <v>⚠ ZERO</v>
      </c>
      <c r="Q11" s="26" t="str">
        <f aca="false">IFERROR(IF(Q10&lt;=0,"⚠ ZERO","OK"),"")</f>
        <v>⚠ ZERO</v>
      </c>
      <c r="R11" s="26" t="str">
        <f aca="false">IFERROR(IF(R10&lt;=0,"⚠ ZERO","OK"),"")</f>
        <v>⚠ ZERO</v>
      </c>
      <c r="S11" s="26" t="str">
        <f aca="false">IFERROR(IF(S10&lt;=0,"⚠ ZERO","OK"),"")</f>
        <v>⚠ ZERO</v>
      </c>
      <c r="T11" s="26" t="str">
        <f aca="false">IFERROR(IF(T10&lt;=0,"⚠ ZERO","OK"),"")</f>
        <v>⚠ ZERO</v>
      </c>
      <c r="U11" s="26" t="str">
        <f aca="false">IFERROR(IF(U10&lt;=0,"⚠ ZERO","OK"),"")</f>
        <v>⚠ ZERO</v>
      </c>
      <c r="V11" s="26" t="str">
        <f aca="false">IFERROR(IF(V10&lt;=0,"⚠ ZERO","OK"),"")</f>
        <v>⚠ ZERO</v>
      </c>
      <c r="W11" s="26" t="str">
        <f aca="false">IFERROR(IF(W10&lt;=0,"⚠ ZERO","OK"),"")</f>
        <v>⚠ ZERO</v>
      </c>
      <c r="X11" s="26" t="str">
        <f aca="false">IFERROR(IF(X10&lt;=0,"⚠ ZERO","OK"),"")</f>
        <v>⚠ ZERO</v>
      </c>
      <c r="Y11" s="26" t="str">
        <f aca="false">IFERROR(IF(Y10&lt;=0,"⚠ ZERO","OK"),"")</f>
        <v>⚠ ZERO</v>
      </c>
      <c r="Z11" s="26" t="str">
        <f aca="false">IFERROR(IF(Z10&lt;=0,"⚠ ZERO","OK"),"")</f>
        <v>⚠ ZERO</v>
      </c>
      <c r="AA11" s="26" t="str">
        <f aca="false">IFERROR(IF(AA10&lt;=0,"⚠ ZERO","OK"),"")</f>
        <v>⚠ ZERO</v>
      </c>
      <c r="AC11" s="26" t="str">
        <f aca="false">IFERROR(IF(AC10&lt;=0,"⚠ ZERO","OK"),"")</f>
        <v>⚠ ZERO</v>
      </c>
      <c r="AD11" s="26" t="str">
        <f aca="false">IFERROR(IF(AD10&lt;=0,"⚠ ZERO","OK"),"")</f>
        <v>⚠ ZERO</v>
      </c>
      <c r="AE11" s="26" t="str">
        <f aca="false">IFERROR(IF(AE10&lt;=0,"⚠ ZERO","OK"),"")</f>
        <v>⚠ ZERO</v>
      </c>
      <c r="AF11" s="26" t="str">
        <f aca="false">IFERROR(IF(AF10&lt;=0,"⚠ ZERO","OK"),"")</f>
        <v>⚠ ZERO</v>
      </c>
      <c r="AG11" s="26" t="str">
        <f aca="false">IFERROR(IF(AG10&lt;=0,"⚠ ZERO","OK"),"")</f>
        <v>⚠ ZERO</v>
      </c>
      <c r="AH11" s="26" t="str">
        <f aca="false">IFERROR(IF(AH10&lt;=0,"⚠ ZERO","OK"),"")</f>
        <v>⚠ ZERO</v>
      </c>
      <c r="AI11" s="26" t="str">
        <f aca="false">IFERROR(IF(AI10&lt;=0,"⚠ ZERO","OK"),"")</f>
        <v>⚠ ZERO</v>
      </c>
      <c r="AJ11" s="26" t="str">
        <f aca="false">IFERROR(IF(AJ10&lt;=0,"⚠ ZERO","OK"),"")</f>
        <v>⚠ ZERO</v>
      </c>
      <c r="AK11" s="26" t="str">
        <f aca="false">IFERROR(IF(AK10&lt;=0,"⚠ ZERO","OK"),"")</f>
        <v>⚠ ZERO</v>
      </c>
      <c r="AL11" s="26" t="str">
        <f aca="false">IFERROR(IF(AL10&lt;=0,"⚠ ZERO","OK"),"")</f>
        <v>⚠ ZERO</v>
      </c>
      <c r="AM11" s="26" t="str">
        <f aca="false">IFERROR(IF(AM10&lt;=0,"⚠ ZERO","OK"),"")</f>
        <v>⚠ ZERO</v>
      </c>
      <c r="AN11" s="26" t="str">
        <f aca="false">IFERROR(IF(AN10&lt;=0,"⚠ ZERO","OK"),"")</f>
        <v>⚠ ZERO</v>
      </c>
    </row>
  </sheetData>
  <mergeCells count="4">
    <mergeCell ref="B1:AO1"/>
    <mergeCell ref="C2:N2"/>
    <mergeCell ref="P2:AA2"/>
    <mergeCell ref="AC2:A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0A0A"/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18"/>
    <col collapsed="false" customWidth="true" hidden="false" outlineLevel="0" max="6" min="6" style="1" width="22"/>
    <col collapsed="false" customWidth="true" hidden="false" outlineLevel="0" max="7" min="7" style="1" width="3"/>
  </cols>
  <sheetData>
    <row r="1" customFormat="false" ht="31.5" hidden="false" customHeight="true" outlineLevel="0" collapsed="false">
      <c r="A1" s="2"/>
      <c r="B1" s="27" t="s">
        <v>92</v>
      </c>
      <c r="C1" s="27"/>
      <c r="D1" s="27"/>
      <c r="E1" s="27"/>
      <c r="F1" s="27"/>
      <c r="G1" s="2"/>
    </row>
    <row r="2" customFormat="false" ht="19.5" hidden="false" customHeight="true" outlineLevel="0" collapsed="false">
      <c r="B2" s="4" t="s">
        <v>93</v>
      </c>
      <c r="C2" s="4"/>
      <c r="D2" s="4"/>
      <c r="E2" s="4"/>
      <c r="F2" s="4"/>
    </row>
    <row r="4" customFormat="false" ht="19.5" hidden="false" customHeight="true" outlineLevel="0" collapsed="false">
      <c r="B4" s="6" t="s">
        <v>94</v>
      </c>
      <c r="C4" s="6"/>
      <c r="D4" s="6"/>
      <c r="E4" s="6"/>
      <c r="F4" s="6"/>
    </row>
    <row r="5" customFormat="false" ht="21.75" hidden="false" customHeight="true" outlineLevel="0" collapsed="false">
      <c r="B5" s="5" t="s">
        <v>95</v>
      </c>
      <c r="C5" s="5" t="s">
        <v>96</v>
      </c>
      <c r="D5" s="5" t="s">
        <v>97</v>
      </c>
      <c r="E5" s="5" t="s">
        <v>98</v>
      </c>
      <c r="F5" s="5" t="s">
        <v>99</v>
      </c>
    </row>
    <row r="6" customFormat="false" ht="21.75" hidden="false" customHeight="true" outlineLevel="0" collapsed="false">
      <c r="B6" s="7" t="s">
        <v>100</v>
      </c>
      <c r="C6" s="28" t="n">
        <f aca="false">'Data Entry'!C14</f>
        <v>0</v>
      </c>
      <c r="D6" s="28" t="n">
        <f aca="false">'Data Entry'!C14</f>
        <v>0</v>
      </c>
      <c r="E6" s="28" t="n">
        <f aca="false">'Data Entry'!C14</f>
        <v>0</v>
      </c>
      <c r="F6" s="29"/>
    </row>
    <row r="7" customFormat="false" ht="21.75" hidden="false" customHeight="true" outlineLevel="0" collapsed="false">
      <c r="B7" s="7" t="s">
        <v>101</v>
      </c>
      <c r="C7" s="28" t="n">
        <f aca="false">'Scenario Model'!C5</f>
        <v>0</v>
      </c>
      <c r="D7" s="28" t="n">
        <f aca="false">'Scenario Model'!P5</f>
        <v>0</v>
      </c>
      <c r="E7" s="28" t="n">
        <f aca="false">'Scenario Model'!AC5</f>
        <v>0</v>
      </c>
      <c r="F7" s="29"/>
    </row>
    <row r="8" customFormat="false" ht="21.75" hidden="false" customHeight="true" outlineLevel="0" collapsed="false">
      <c r="B8" s="7" t="s">
        <v>102</v>
      </c>
      <c r="C8" s="28" t="n">
        <f aca="false">'Scenario Model'!C6</f>
        <v>0</v>
      </c>
      <c r="D8" s="28" t="n">
        <f aca="false">'Scenario Model'!P6</f>
        <v>0</v>
      </c>
      <c r="E8" s="28" t="n">
        <f aca="false">'Scenario Model'!AC6</f>
        <v>0</v>
      </c>
      <c r="F8" s="29"/>
    </row>
    <row r="9" customFormat="false" ht="21.75" hidden="false" customHeight="true" outlineLevel="0" collapsed="false">
      <c r="B9" s="7" t="s">
        <v>103</v>
      </c>
      <c r="C9" s="28" t="n">
        <f aca="false">'Scenario Model'!H10</f>
        <v>0</v>
      </c>
      <c r="D9" s="28" t="n">
        <f aca="false">'Scenario Model'!U10</f>
        <v>0</v>
      </c>
      <c r="E9" s="28" t="n">
        <f aca="false">'Scenario Model'!AH10</f>
        <v>0</v>
      </c>
      <c r="F9" s="29"/>
    </row>
    <row r="10" customFormat="false" ht="21.75" hidden="false" customHeight="true" outlineLevel="0" collapsed="false">
      <c r="B10" s="7" t="s">
        <v>104</v>
      </c>
      <c r="C10" s="28" t="n">
        <f aca="false">'Scenario Model'!N10</f>
        <v>0</v>
      </c>
      <c r="D10" s="28" t="n">
        <f aca="false">'Scenario Model'!AA10</f>
        <v>0</v>
      </c>
      <c r="E10" s="28" t="n">
        <f aca="false">'Scenario Model'!AN10</f>
        <v>0</v>
      </c>
      <c r="F10" s="29"/>
    </row>
    <row r="11" customFormat="false" ht="21.75" hidden="false" customHeight="true" outlineLevel="0" collapsed="false">
      <c r="B11" s="11" t="s">
        <v>105</v>
      </c>
      <c r="C11" s="30" t="str">
        <f aca="false">IFERROR(let(mn,MIN(IF(C10&lt;=0,1,99),IF(D10&lt;=0,2,99),IF(E10&lt;=0,3,99),IF(F10&lt;=0,4,99),IF(G10&lt;=0,5,99),IF(H10&lt;=0,6,99),IF(I10&lt;=0,7,99),IF(J10&lt;=0,8,99),IF(K10&lt;=0,9,99),IF(L10&lt;=0,10,99),IF(M10&lt;=0,11,99),IF(N10&lt;=0,12,99)),IF(mn=99,"&gt;12 months",mn&amp;" months"))," — ")</f>
        <v> — </v>
      </c>
      <c r="D11" s="30" t="str">
        <f aca="false">IFERROR(let(mn,MIN(IF(P10&lt;=0,1,99),IF(Q10&lt;=0,2,99),IF(R10&lt;=0,3,99),IF(S10&lt;=0,4,99),IF(T10&lt;=0,5,99),IF(U10&lt;=0,6,99),IF(V10&lt;=0,7,99),IF(W10&lt;=0,8,99),IF(X10&lt;=0,9,99),IF(Y10&lt;=0,10,99),IF(Z10&lt;=0,11,99),IF(AA10&lt;=0,12,99)),IF(mn=99,"&gt;12 months",mn&amp;" months"))," — ")</f>
        <v> — </v>
      </c>
      <c r="E11" s="30" t="str">
        <f aca="false">IFERROR(let(mn,MIN(IF(AC10&lt;=0,1,99),IF(AD10&lt;=0,2,99),IF(AE10&lt;=0,3,99),IF(AF10&lt;=0,4,99),IF(AG10&lt;=0,5,99),IF(AH10&lt;=0,6,99),IF(AI10&lt;=0,7,99),IF(AJ10&lt;=0,8,99),IF(AK10&lt;=0,9,99),IF(AL10&lt;=0,10,99),IF(AM10&lt;=0,11,99),IF(AN10&lt;=0,12,99)),IF(mn=99,"&gt;12 months",mn&amp;" months"))," — ")</f>
        <v> — </v>
      </c>
      <c r="F11" s="31" t="str">
        <f aca="false">IFERROR(IF(ISNUMBER(SEARCH("Stable",C11)),"🟢  Stable — &gt;12 months",IF(ISNUMBER(SEARCH("Stable",D11)),"🟡  Downside still stable","🔴  Downside runway &lt; 12 months")),"")</f>
        <v>🔴  Downside runway &lt; 12 months</v>
      </c>
    </row>
    <row r="12" customFormat="false" ht="21.75" hidden="false" customHeight="true" outlineLevel="0" collapsed="false">
      <c r="B12" s="11" t="s">
        <v>106</v>
      </c>
      <c r="C12" s="12" t="n">
        <f aca="false">IFERROR('Scenario Model'!C6-'Scenario Model'!C5,0)</f>
        <v>0</v>
      </c>
      <c r="D12" s="12" t="n">
        <f aca="false">IFERROR('Scenario Model'!P6-'Scenario Model'!P5,0)</f>
        <v>0</v>
      </c>
      <c r="E12" s="12" t="n">
        <f aca="false">IFERROR('Scenario Model'!AC6-'Scenario Model'!AC5,0)</f>
        <v>0</v>
      </c>
      <c r="F12" s="31" t="str">
        <f aca="false">IFERROR(IF(C12&lt;=0,"🟢  Cash generative",IF(C12&lt;'Data Entry'!C14*0.1,"🟡  Burn &lt; 10% cash/mo","🔴  Burn is high relative to cash")),"")</f>
        <v>🟢  Cash generative</v>
      </c>
    </row>
    <row r="14" customFormat="false" ht="19.5" hidden="false" customHeight="true" outlineLevel="0" collapsed="false">
      <c r="B14" s="6" t="s">
        <v>107</v>
      </c>
      <c r="C14" s="6"/>
      <c r="D14" s="6"/>
      <c r="E14" s="6"/>
      <c r="F14" s="6"/>
    </row>
    <row r="15" customFormat="false" ht="21.75" hidden="false" customHeight="true" outlineLevel="0" collapsed="false">
      <c r="B15" s="5" t="s">
        <v>108</v>
      </c>
      <c r="C15" s="5" t="s">
        <v>109</v>
      </c>
      <c r="D15" s="5" t="s">
        <v>110</v>
      </c>
      <c r="E15" s="5" t="s">
        <v>111</v>
      </c>
      <c r="F15" s="5" t="s">
        <v>112</v>
      </c>
    </row>
    <row r="16" customFormat="false" ht="25.5" hidden="false" customHeight="true" outlineLevel="0" collapsed="false">
      <c r="B16" s="32" t="s">
        <v>113</v>
      </c>
      <c r="C16" s="33" t="str">
        <f aca="false">IFERROR(let(mn,MIN(IF(C10&lt;=0,1,99),IF(D10&lt;=0,2,99),IF(E10&lt;=0,3,99),IF(F10&lt;=0,4,99),IF(G10&lt;=0,5,99),IF(H10&lt;=0,6,99),IF(I10&lt;=0,7,99),IF(J10&lt;=0,8,99),IF(K10&lt;=0,9,99),IF(L10&lt;=0,10,99),IF(M10&lt;=0,11,99),IF(N10&lt;=0,12,99)),IF(mn=99,"&gt;12 months",mn&amp;" months"))," — ")</f>
        <v> — </v>
      </c>
      <c r="D16" s="34" t="n">
        <f aca="false">IFERROR('Scenario Model'!C6-'Scenario Model'!C5,0)</f>
        <v>0</v>
      </c>
      <c r="E16" s="34" t="n">
        <f aca="false">'Scenario Model'!N10</f>
        <v>0</v>
      </c>
      <c r="F16" s="35" t="str">
        <f aca="false">IFERROR(IF('Scenario Model'!N10&gt;='Data Entry'!C14*0.5,"Strong — &gt;50% opening cash remaining",IF('Scenario Model'!N10&gt;0,"Caution — cash depleting","Critical — cash exhausted")),"")</f>
        <v>Strong — &gt;50% opening cash remaining</v>
      </c>
    </row>
    <row r="17" customFormat="false" ht="25.5" hidden="false" customHeight="true" outlineLevel="0" collapsed="false">
      <c r="B17" s="36" t="s">
        <v>114</v>
      </c>
      <c r="C17" s="37" t="str">
        <f aca="false">IFERROR(let(mn,MIN(IF(P10&lt;=0,1,99),IF(Q10&lt;=0,2,99),IF(R10&lt;=0,3,99),IF(S10&lt;=0,4,99),IF(T10&lt;=0,5,99),IF(U10&lt;=0,6,99),IF(V10&lt;=0,7,99),IF(W10&lt;=0,8,99),IF(X10&lt;=0,9,99),IF(Y10&lt;=0,10,99),IF(Z10&lt;=0,11,99),IF(AA10&lt;=0,12,99)),IF(mn=99,"&gt;12 months",mn&amp;" months"))," — ")</f>
        <v> — </v>
      </c>
      <c r="D17" s="38" t="n">
        <f aca="false">IFERROR('Scenario Model'!P6-'Scenario Model'!P5,0)</f>
        <v>0</v>
      </c>
      <c r="E17" s="38" t="n">
        <f aca="false">'Scenario Model'!AA10</f>
        <v>0</v>
      </c>
      <c r="F17" s="39" t="str">
        <f aca="false">IFERROR(IF('Scenario Model'!AA10&gt;='Data Entry'!C14*0.5,"Strong — &gt;50% opening cash remaining",IF('Scenario Model'!AA10&gt;0,"Caution — cash depleting","Critical — cash exhausted")),"")</f>
        <v>Strong — &gt;50% opening cash remaining</v>
      </c>
    </row>
    <row r="18" customFormat="false" ht="25.5" hidden="false" customHeight="true" outlineLevel="0" collapsed="false">
      <c r="B18" s="40" t="s">
        <v>115</v>
      </c>
      <c r="C18" s="41" t="str">
        <f aca="false">IFERROR(let(mn,MIN(IF(AC10&lt;=0,1,99),IF(AD10&lt;=0,2,99),IF(AE10&lt;=0,3,99),IF(AF10&lt;=0,4,99),IF(AG10&lt;=0,5,99),IF(AH10&lt;=0,6,99),IF(AI10&lt;=0,7,99),IF(AJ10&lt;=0,8,99),IF(AK10&lt;=0,9,99),IF(AL10&lt;=0,10,99),IF(AM10&lt;=0,11,99),IF(AN10&lt;=0,12,99)),IF(mn=99,"&gt;12 months",mn&amp;" months"))," — ")</f>
        <v> — </v>
      </c>
      <c r="D18" s="42" t="n">
        <f aca="false">IFERROR('Scenario Model'!AC6-'Scenario Model'!AC5,0)</f>
        <v>0</v>
      </c>
      <c r="E18" s="42" t="n">
        <f aca="false">'Scenario Model'!AN10</f>
        <v>0</v>
      </c>
      <c r="F18" s="43" t="str">
        <f aca="false">IFERROR(IF('Scenario Model'!AN10&gt;='Data Entry'!C14*0.5,"Strong — &gt;50% opening cash remaining",IF('Scenario Model'!AN10&gt;0,"Caution — cash depleting","Critical — cash exhausted")),"")</f>
        <v>Strong — &gt;50% opening cash remaining</v>
      </c>
    </row>
    <row r="20" customFormat="false" ht="19.5" hidden="false" customHeight="true" outlineLevel="0" collapsed="false">
      <c r="B20" s="6" t="s">
        <v>116</v>
      </c>
      <c r="C20" s="6"/>
      <c r="D20" s="6"/>
      <c r="E20" s="6"/>
      <c r="F20" s="6"/>
    </row>
    <row r="21" customFormat="false" ht="33.75" hidden="false" customHeight="true" outlineLevel="0" collapsed="false">
      <c r="B21" s="44" t="s">
        <v>117</v>
      </c>
      <c r="C21" s="44"/>
      <c r="D21" s="44"/>
      <c r="E21" s="44"/>
      <c r="F21" s="44"/>
    </row>
    <row r="22" customFormat="false" ht="33.75" hidden="false" customHeight="true" outlineLevel="0" collapsed="false">
      <c r="B22" s="44" t="s">
        <v>118</v>
      </c>
      <c r="C22" s="44"/>
      <c r="D22" s="44"/>
      <c r="E22" s="44"/>
      <c r="F22" s="44"/>
    </row>
    <row r="23" customFormat="false" ht="33.75" hidden="false" customHeight="true" outlineLevel="0" collapsed="false">
      <c r="B23" s="44" t="s">
        <v>119</v>
      </c>
      <c r="C23" s="44"/>
      <c r="D23" s="44"/>
      <c r="E23" s="44"/>
      <c r="F23" s="44"/>
    </row>
  </sheetData>
  <mergeCells count="8">
    <mergeCell ref="B1:F1"/>
    <mergeCell ref="B2:F2"/>
    <mergeCell ref="B4:F4"/>
    <mergeCell ref="B14:F14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1C1C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24"/>
    <col collapsed="false" customWidth="true" hidden="false" outlineLevel="0" max="5" min="5" style="1" width="3"/>
  </cols>
  <sheetData>
    <row r="1" customFormat="false" ht="24" hidden="false" customHeight="true" outlineLevel="0" collapsed="false">
      <c r="A1" s="2"/>
      <c r="B1" s="45" t="s">
        <v>120</v>
      </c>
      <c r="C1" s="45"/>
      <c r="D1" s="45"/>
      <c r="E1" s="2"/>
    </row>
    <row r="2" customFormat="false" ht="24" hidden="false" customHeight="true" outlineLevel="0" collapsed="false">
      <c r="B2" s="45"/>
      <c r="C2" s="45"/>
      <c r="D2" s="45"/>
    </row>
    <row r="3" customFormat="false" ht="18" hidden="false" customHeight="true" outlineLevel="0" collapsed="false">
      <c r="B3" s="46" t="n">
        <f aca="false">'Data Entry'!C6</f>
        <v>0</v>
      </c>
      <c r="C3" s="46"/>
      <c r="D3" s="46"/>
    </row>
    <row r="5" customFormat="false" ht="19.5" hidden="false" customHeight="true" outlineLevel="0" collapsed="false">
      <c r="B5" s="6" t="s">
        <v>121</v>
      </c>
      <c r="C5" s="6"/>
      <c r="D5" s="6"/>
    </row>
    <row r="6" customFormat="false" ht="21.75" hidden="false" customHeight="true" outlineLevel="0" collapsed="false">
      <c r="B6" s="5" t="s">
        <v>95</v>
      </c>
      <c r="C6" s="5" t="s">
        <v>122</v>
      </c>
      <c r="D6" s="5" t="s">
        <v>123</v>
      </c>
    </row>
    <row r="7" customFormat="false" ht="21.75" hidden="false" customHeight="true" outlineLevel="0" collapsed="false">
      <c r="B7" s="7" t="s">
        <v>18</v>
      </c>
      <c r="C7" s="12" t="n">
        <f aca="false">'Data Entry'!C14</f>
        <v>0</v>
      </c>
      <c r="D7" s="9" t="s">
        <v>124</v>
      </c>
    </row>
    <row r="8" customFormat="false" ht="21.75" hidden="false" customHeight="true" outlineLevel="0" collapsed="false">
      <c r="B8" s="7" t="s">
        <v>125</v>
      </c>
      <c r="C8" s="12" t="n">
        <f aca="false">'Data Entry'!C23</f>
        <v>0</v>
      </c>
      <c r="D8" s="9" t="s">
        <v>126</v>
      </c>
    </row>
    <row r="9" customFormat="false" ht="21.75" hidden="false" customHeight="true" outlineLevel="0" collapsed="false">
      <c r="B9" s="7" t="s">
        <v>127</v>
      </c>
      <c r="C9" s="12" t="n">
        <f aca="false">'Data Entry'!C35</f>
        <v>0</v>
      </c>
      <c r="D9" s="9" t="s">
        <v>128</v>
      </c>
    </row>
    <row r="10" customFormat="false" ht="21.75" hidden="false" customHeight="true" outlineLevel="0" collapsed="false">
      <c r="B10" s="7" t="s">
        <v>129</v>
      </c>
      <c r="C10" s="12" t="n">
        <f aca="false">IFERROR('Data Entry'!C35-'Data Entry'!C23,0)</f>
        <v>0</v>
      </c>
      <c r="D10" s="9" t="s">
        <v>130</v>
      </c>
    </row>
    <row r="11" customFormat="false" ht="21.75" hidden="false" customHeight="true" outlineLevel="0" collapsed="false">
      <c r="B11" s="7" t="s">
        <v>131</v>
      </c>
      <c r="C11" s="12" t="n">
        <f aca="false">'Data Entry'!C40</f>
        <v>0</v>
      </c>
      <c r="D11" s="9" t="s">
        <v>132</v>
      </c>
    </row>
    <row r="12" customFormat="false" ht="21.75" hidden="false" customHeight="true" outlineLevel="0" collapsed="false">
      <c r="B12" s="7" t="s">
        <v>133</v>
      </c>
      <c r="C12" s="12" t="n">
        <f aca="false">'Data Entry'!C41</f>
        <v>0</v>
      </c>
      <c r="D12" s="9" t="s">
        <v>132</v>
      </c>
    </row>
    <row r="14" customFormat="false" ht="19.5" hidden="false" customHeight="true" outlineLevel="0" collapsed="false">
      <c r="B14" s="6" t="s">
        <v>134</v>
      </c>
      <c r="C14" s="6"/>
      <c r="D14" s="6"/>
    </row>
    <row r="15" customFormat="false" ht="21.75" hidden="false" customHeight="true" outlineLevel="0" collapsed="false">
      <c r="B15" s="5" t="s">
        <v>135</v>
      </c>
      <c r="C15" s="5" t="s">
        <v>136</v>
      </c>
      <c r="D15" s="5" t="s">
        <v>111</v>
      </c>
    </row>
    <row r="16" customFormat="false" ht="25.5" hidden="false" customHeight="true" outlineLevel="0" collapsed="false">
      <c r="B16" s="32" t="s">
        <v>137</v>
      </c>
      <c r="C16" s="47" t="n">
        <f aca="false">'Scenario Model'!H10</f>
        <v>0</v>
      </c>
      <c r="D16" s="47" t="n">
        <f aca="false">'Scenario Model'!N10</f>
        <v>0</v>
      </c>
    </row>
    <row r="17" customFormat="false" ht="25.5" hidden="false" customHeight="true" outlineLevel="0" collapsed="false">
      <c r="B17" s="36" t="s">
        <v>138</v>
      </c>
      <c r="C17" s="48" t="n">
        <f aca="false">'Scenario Model'!U10</f>
        <v>0</v>
      </c>
      <c r="D17" s="48" t="n">
        <f aca="false">'Scenario Model'!AA10</f>
        <v>0</v>
      </c>
    </row>
    <row r="18" customFormat="false" ht="25.5" hidden="false" customHeight="true" outlineLevel="0" collapsed="false">
      <c r="B18" s="40" t="s">
        <v>139</v>
      </c>
      <c r="C18" s="49" t="n">
        <f aca="false">'Scenario Model'!AH10</f>
        <v>0</v>
      </c>
      <c r="D18" s="49" t="n">
        <f aca="false">'Scenario Model'!AN10</f>
        <v>0</v>
      </c>
    </row>
    <row r="21" customFormat="false" ht="19.5" hidden="false" customHeight="true" outlineLevel="0" collapsed="false">
      <c r="B21" s="6" t="s">
        <v>140</v>
      </c>
      <c r="C21" s="6"/>
      <c r="D21" s="6"/>
    </row>
    <row r="22" customFormat="false" ht="27.75" hidden="false" customHeight="true" outlineLevel="0" collapsed="false">
      <c r="B22" s="50"/>
      <c r="C22" s="50"/>
      <c r="D22" s="50"/>
    </row>
    <row r="23" customFormat="false" ht="27.75" hidden="false" customHeight="true" outlineLevel="0" collapsed="false">
      <c r="B23" s="50"/>
      <c r="C23" s="50"/>
      <c r="D23" s="50"/>
    </row>
    <row r="24" customFormat="false" ht="27.75" hidden="false" customHeight="true" outlineLevel="0" collapsed="false">
      <c r="B24" s="50"/>
      <c r="C24" s="50"/>
      <c r="D24" s="50"/>
    </row>
    <row r="25" customFormat="false" ht="27.75" hidden="false" customHeight="true" outlineLevel="0" collapsed="false">
      <c r="B25" s="50"/>
      <c r="C25" s="50"/>
      <c r="D25" s="50"/>
    </row>
    <row r="26" customFormat="false" ht="27.75" hidden="false" customHeight="true" outlineLevel="0" collapsed="false">
      <c r="B26" s="50"/>
      <c r="C26" s="50"/>
      <c r="D26" s="50"/>
    </row>
    <row r="27" customFormat="false" ht="27.75" hidden="false" customHeight="true" outlineLevel="0" collapsed="false">
      <c r="B27" s="50"/>
      <c r="C27" s="50"/>
      <c r="D27" s="50"/>
    </row>
    <row r="29" customFormat="false" ht="15.75" hidden="false" customHeight="true" outlineLevel="0" collapsed="false">
      <c r="B29" s="51" t="s">
        <v>141</v>
      </c>
      <c r="C29" s="51"/>
      <c r="D29" s="51"/>
    </row>
  </sheetData>
  <mergeCells count="12">
    <mergeCell ref="B1:D2"/>
    <mergeCell ref="B3:D3"/>
    <mergeCell ref="B5:D5"/>
    <mergeCell ref="B14:D14"/>
    <mergeCell ref="B21:D21"/>
    <mergeCell ref="B22:D22"/>
    <mergeCell ref="B23:D23"/>
    <mergeCell ref="B24:D24"/>
    <mergeCell ref="B25:D25"/>
    <mergeCell ref="B26:D26"/>
    <mergeCell ref="B27:D27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2026-03-05T16:40:08Z</dcterms:created>
  <dc:creator>openpyxl</dc:creator>
  <dc:description/>
  <dc:language>en-US</dc:language>
  <cp:lastModifiedBy/>
  <dcterms:modified xsi:type="dcterms:W3CDTF">2026-03-05T16:40:33Z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