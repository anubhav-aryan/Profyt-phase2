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 Entry" sheetId="1" state="visible" r:id="rId3"/>
    <sheet name="Waterfall Model" sheetId="2" state="visible" r:id="rId4"/>
    <sheet name="Dashboard" sheetId="3" state="visible" r:id="rId5"/>
    <sheet name="Print Repor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<sst xmlns="http://schemas.openxmlformats.org/spreadsheetml/2006/main" count="103" uniqueCount="76">
  <si>
    <t xml:space="preserve">Margin Waterfall — Analyst Data Entry  (8 Quarters)</t>
  </si>
  <si>
    <t xml:space="preserve">Paste quarterly P&amp;L values from client file. All ₹ Crore.</t>
  </si>
  <si>
    <t xml:space="preserve">Metric</t>
  </si>
  <si>
    <t xml:space="preserve">Q1 (oldest)</t>
  </si>
  <si>
    <t xml:space="preserve">Q2</t>
  </si>
  <si>
    <t xml:space="preserve">Q3</t>
  </si>
  <si>
    <t xml:space="preserve">Q4</t>
  </si>
  <si>
    <t xml:space="preserve">Q5</t>
  </si>
  <si>
    <t xml:space="preserve">Q6</t>
  </si>
  <si>
    <t xml:space="preserve">Q7</t>
  </si>
  <si>
    <t xml:space="preserve">Q8 (latest)</t>
  </si>
  <si>
    <t xml:space="preserve">REVENUE &amp; GROSS PROFIT</t>
  </si>
  <si>
    <t xml:space="preserve">  Total Revenue</t>
  </si>
  <si>
    <t xml:space="preserve">  Total COGS</t>
  </si>
  <si>
    <t xml:space="preserve">  Gross Profit</t>
  </si>
  <si>
    <t xml:space="preserve">  Gross Margin %</t>
  </si>
  <si>
    <t xml:space="preserve">OPERATING EXPENSES</t>
  </si>
  <si>
    <t xml:space="preserve">  R&amp;D</t>
  </si>
  <si>
    <t xml:space="preserve">  Sales &amp; Marketing</t>
  </si>
  <si>
    <t xml:space="preserve">  G&amp;A</t>
  </si>
  <si>
    <t xml:space="preserve">  Total OPEX</t>
  </si>
  <si>
    <t xml:space="preserve">PROFITABILITY</t>
  </si>
  <si>
    <t xml:space="preserve">  EBITDA</t>
  </si>
  <si>
    <t xml:space="preserve">  EBITDA Margin %</t>
  </si>
  <si>
    <t xml:space="preserve">  D&amp;A</t>
  </si>
  <si>
    <t xml:space="preserve">  EBIT</t>
  </si>
  <si>
    <t xml:space="preserve">  EBIT Margin %</t>
  </si>
  <si>
    <t xml:space="preserve">  PBT</t>
  </si>
  <si>
    <t xml:space="preserve">  PAT</t>
  </si>
  <si>
    <t xml:space="preserve">  PAT Margin %</t>
  </si>
  <si>
    <t xml:space="preserve">  Normalised PAT</t>
  </si>
  <si>
    <t xml:space="preserve">  Normalised PAT Margin %</t>
  </si>
  <si>
    <t xml:space="preserve">ANALYST ADJUSTMENTS</t>
  </si>
  <si>
    <t xml:space="preserve">  Analyst Normalisation Adj (₹ Cr) — enter reason in note</t>
  </si>
  <si>
    <t xml:space="preserve">Margin Waterfall — Gross → EBITDA → EBIT → PAT Bridge</t>
  </si>
  <si>
    <t xml:space="preserve">Margin waterfall: each line shows margin compression or expansion as % of revenue.</t>
  </si>
  <si>
    <t xml:space="preserve">Margin Bridge</t>
  </si>
  <si>
    <t xml:space="preserve">Q1→Q8 Change</t>
  </si>
  <si>
    <t xml:space="preserve">  Revenue (₹ Cr)</t>
  </si>
  <si>
    <t xml:space="preserve">  (-) COGS</t>
  </si>
  <si>
    <t xml:space="preserve">= GROSS PROFIT (₹ Cr)</t>
  </si>
  <si>
    <t xml:space="preserve">    Gross Margin %</t>
  </si>
  <si>
    <t xml:space="preserve">  (-) R&amp;D</t>
  </si>
  <si>
    <t xml:space="preserve">  (-) S&amp;M</t>
  </si>
  <si>
    <t xml:space="preserve">  (-) G&amp;A</t>
  </si>
  <si>
    <t xml:space="preserve">= EBITDA (₹ Cr)</t>
  </si>
  <si>
    <t xml:space="preserve">    EBITDA Margin %</t>
  </si>
  <si>
    <t xml:space="preserve">  (-) D&amp;A</t>
  </si>
  <si>
    <t xml:space="preserve">= EBIT (₹ Cr)</t>
  </si>
  <si>
    <t xml:space="preserve">    EBIT Margin %</t>
  </si>
  <si>
    <t xml:space="preserve">= PAT (₹ Cr)</t>
  </si>
  <si>
    <t xml:space="preserve">    PAT Margin %</t>
  </si>
  <si>
    <t xml:space="preserve">    Normalised PAT %</t>
  </si>
  <si>
    <t xml:space="preserve">MARGIN COMPRESSION / EXPANSION ANALYSIS  (Q8 vs Q1)</t>
  </si>
  <si>
    <t xml:space="preserve">Q1</t>
  </si>
  <si>
    <t xml:space="preserve">Q8 (Latest)</t>
  </si>
  <si>
    <t xml:space="preserve">Change</t>
  </si>
  <si>
    <t xml:space="preserve">Margin Waterfall — Dashboard</t>
  </si>
  <si>
    <t xml:space="preserve">Auto-calculated from Data Entry. Complete Data Entry before reading.</t>
  </si>
  <si>
    <t xml:space="preserve">MARGIN SCORECARD — LATEST QUARTER (Q8)</t>
  </si>
  <si>
    <t xml:space="preserve">Q1 (Oldest)</t>
  </si>
  <si>
    <t xml:space="preserve">Health Status</t>
  </si>
  <si>
    <t xml:space="preserve">  Normalised PAT %</t>
  </si>
  <si>
    <t xml:space="preserve">  GM Trend Q1→Q8</t>
  </si>
  <si>
    <t xml:space="preserve">  EBITDA Trend Q1→Q8</t>
  </si>
  <si>
    <t xml:space="preserve">ANALYST COMMENTARY</t>
  </si>
  <si>
    <t xml:space="preserve">Analyst: Margin waterfall narrative — describe the journey from gross to PAT. Identify where the largest margin is lost and whether it is structural or temporary.</t>
  </si>
  <si>
    <t xml:space="preserve">Analyst: Trend analysis — is the business approaching profitability, moving away from it, or plateauing? What is the implied path to EBITDA breakeven at current trajectory?</t>
  </si>
  <si>
    <t xml:space="preserve">Analyst: Key margin improvement levers — specific initiatives with estimated margin impact (bps) and implementation complexity.</t>
  </si>
  <si>
    <t xml:space="preserve">PROFYT  ·  Margin Waterfall Analysis Report — Tier 2</t>
  </si>
  <si>
    <t xml:space="preserve">Confidential  ·  Prepared by PROFYT</t>
  </si>
  <si>
    <t xml:space="preserve">MARGIN SCORECARD — LATEST QUARTER</t>
  </si>
  <si>
    <t xml:space="preserve">Margin Metric</t>
  </si>
  <si>
    <t xml:space="preserve">Q8 Value</t>
  </si>
  <si>
    <t xml:space="preserve">Status</t>
  </si>
  <si>
    <t xml:space="preserve">ANALYST ASSESSMENT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</si>
</sst>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0.0%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9"/>
      <color rgb="FF9A9A9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2D2D2D"/>
      <name val="Arial"/>
      <family val="0"/>
      <charset val="1"/>
    </font>
    <font>
      <sz val="11"/>
      <color rgb="FF0000CC"/>
      <name val="Arial"/>
      <family val="0"/>
      <charset val="1"/>
    </font>
    <font>
      <b val="true"/>
      <sz val="10"/>
      <color rgb="FF2D2D2D"/>
      <name val="Arial"/>
      <family val="0"/>
      <charset val="1"/>
    </font>
    <font>
      <sz val="10"/>
      <color rgb="FF006600"/>
      <name val="Arial"/>
      <family val="0"/>
      <charset val="1"/>
    </font>
    <font>
      <sz val="10"/>
      <color rgb="FF0A0A0A"/>
      <name val="Arial"/>
      <family val="0"/>
      <charset val="1"/>
    </font>
    <font>
      <b val="true"/>
      <sz val="10"/>
      <color rgb="FF006600"/>
      <name val="Arial"/>
      <family val="0"/>
      <charset val="1"/>
    </font>
    <font>
      <b val="true"/>
      <sz val="10"/>
      <color rgb="FF0A0A0A"/>
      <name val="Arial"/>
      <family val="0"/>
      <charset val="1"/>
    </font>
    <font>
      <i val="true"/>
      <sz val="10"/>
      <color rgb="FF1A3A6B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A0A0A"/>
        <bgColor rgb="FF000000"/>
      </patternFill>
    </fill>
    <fill>
      <patternFill patternType="solid">
        <fgColor rgb="FF2D2D2D"/>
        <bgColor rgb="FF1A1A1A"/>
      </patternFill>
    </fill>
    <fill>
      <patternFill patternType="solid">
        <fgColor rgb="FF1A1A1A"/>
        <bgColor rgb="FF0A0A0A"/>
      </patternFill>
    </fill>
    <fill>
      <patternFill patternType="solid">
        <fgColor rgb="FFFFFF00"/>
        <bgColor rgb="FFFFFF00"/>
      </patternFill>
    </fill>
    <fill>
      <patternFill patternType="solid">
        <fgColor rgb="FFF7F7F7"/>
        <bgColor rgb="FFF0F4FF"/>
      </patternFill>
    </fill>
    <fill>
      <patternFill patternType="solid">
        <fgColor rgb="FFF0F4FF"/>
        <bgColor rgb="FFF7F7F7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2D2D2D"/>
      </left>
      <right style="thin">
        <color rgb="FF2D2D2D"/>
      </right>
      <top style="thin">
        <color rgb="FF2D2D2D"/>
      </top>
      <bottom style="thin">
        <color rgb="FF2D2D2D"/>
      </bottom>
      <diagonal/>
    </border>
    <border diagonalUp="false" diagonalDown="false">
      <left style="thin">
        <color rgb="FF1A1A1A"/>
      </left>
      <right style="thin">
        <color rgb="FF1A1A1A"/>
      </right>
      <top style="thin">
        <color rgb="FF1A1A1A"/>
      </top>
      <bottom style="thin">
        <color rgb="FF1A1A1A"/>
      </bottom>
      <diagonal/>
    </border>
    <border diagonalUp="false" diagonalDown="false"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 diagonalUp="false" diagonalDown="false">
      <left style="thin">
        <color rgb="FF1A3A6B"/>
      </left>
      <right style="thin">
        <color rgb="FF1A3A6B"/>
      </right>
      <top style="thin">
        <color rgb="FF1A3A6B"/>
      </top>
      <bottom style="thin">
        <color rgb="FF1A3A6B"/>
      </bottom>
      <diagonal/>
    </border>
    <border diagonalUp="false" diagonalDown="false">
      <left style="thin">
        <color rgb="FF1A3A6B"/>
      </left>
      <right/>
      <top style="thin">
        <color rgb="FF1A3A6B"/>
      </top>
      <bottom style="thin">
        <color rgb="FF1A3A6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9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5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3" fillId="6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7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7" borderId="5" xfId="0" applyFont="fals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CC"/>
      <rgbColor rgb="FFFFFF00"/>
      <rgbColor rgb="FFFF00FF"/>
      <rgbColor rgb="FF00FFFF"/>
      <rgbColor rgb="FF800000"/>
      <rgbColor rgb="FF006600"/>
      <rgbColor rgb="FF000080"/>
      <rgbColor rgb="FF925200"/>
      <rgbColor rgb="FF800080"/>
      <rgbColor rgb="FF1A6B3C"/>
      <rgbColor rgb="FFC0C0C0"/>
      <rgbColor rgb="FF808080"/>
      <rgbColor rgb="FF9999FF"/>
      <rgbColor rgb="FF993366"/>
      <rgbColor rgb="FFF7F7F7"/>
      <rgbColor rgb="FFF0F4FF"/>
      <rgbColor rgb="FF660066"/>
      <rgbColor rgb="FFFF8080"/>
      <rgbColor rgb="FF0066CC"/>
      <rgbColor rgb="FFE0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A9A9A"/>
      <rgbColor rgb="FF1A3A6B"/>
      <rgbColor rgb="FF339966"/>
      <rgbColor rgb="FF0A0A0A"/>
      <rgbColor rgb="FF1A1A1A"/>
      <rgbColor rgb="FF9B1C1C"/>
      <rgbColor rgb="FF993366"/>
      <rgbColor rgb="FF333399"/>
      <rgbColor rgb="FF2D2D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6B3C"/>
    <pageSetUpPr fitToPage="false"/>
  </sheetPr>
  <dimension ref="A1:K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10" min="3" style="1" width="13"/>
    <col collapsed="false" customWidth="true" hidden="false" outlineLevel="0" max="11" min="11" style="1" width="3"/>
  </cols>
  <sheetData>
    <row r="1" customFormat="false" ht="30" hidden="false" customHeight="true" outlineLevel="0" collapsed="false">
      <c r="A1" s="2"/>
      <c r="B1" s="3" t="s">
        <v>0</v>
      </c>
      <c r="C1" s="3"/>
      <c r="D1" s="3"/>
      <c r="E1" s="3"/>
      <c r="F1" s="3"/>
      <c r="G1" s="3"/>
      <c r="H1" s="3"/>
      <c r="I1" s="3"/>
      <c r="J1" s="3"/>
      <c r="K1" s="2"/>
    </row>
    <row r="2" customFormat="false" ht="15" hidden="false" customHeight="true" outlineLevel="0" collapsed="false">
      <c r="B2" s="4" t="s">
        <v>1</v>
      </c>
      <c r="C2" s="4"/>
      <c r="D2" s="4"/>
      <c r="E2" s="4"/>
      <c r="F2" s="4"/>
      <c r="G2" s="4"/>
      <c r="H2" s="4"/>
      <c r="I2" s="4"/>
      <c r="J2" s="4"/>
    </row>
    <row r="4" customFormat="false" ht="21.75" hidden="false" customHeight="true" outlineLevel="0" collapsed="false">
      <c r="B4" s="5" t="s">
        <v>2</v>
      </c>
      <c r="C4" s="5" t="s">
        <v>3</v>
      </c>
      <c r="D4" s="5" t="s">
        <v>4</v>
      </c>
      <c r="E4" s="5" t="s">
        <v>5</v>
      </c>
      <c r="F4" s="5" t="s">
        <v>6</v>
      </c>
      <c r="G4" s="5" t="s">
        <v>7</v>
      </c>
      <c r="H4" s="5" t="s">
        <v>8</v>
      </c>
      <c r="I4" s="5" t="s">
        <v>9</v>
      </c>
      <c r="J4" s="5" t="s">
        <v>10</v>
      </c>
    </row>
    <row r="5" customFormat="false" ht="19.5" hidden="false" customHeight="true" outlineLevel="0" collapsed="false">
      <c r="B5" s="6" t="s">
        <v>11</v>
      </c>
      <c r="C5" s="6"/>
      <c r="D5" s="6"/>
      <c r="E5" s="6"/>
      <c r="F5" s="6"/>
      <c r="G5" s="6"/>
      <c r="H5" s="6"/>
      <c r="I5" s="6"/>
      <c r="J5" s="6"/>
    </row>
    <row r="6" customFormat="false" ht="21.75" hidden="false" customHeight="true" outlineLevel="0" collapsed="false">
      <c r="B6" s="7" t="s">
        <v>12</v>
      </c>
      <c r="C6" s="8" t="n">
        <v>0</v>
      </c>
      <c r="D6" s="8" t="n">
        <v>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</row>
    <row r="7" customFormat="false" ht="21.75" hidden="false" customHeight="true" outlineLevel="0" collapsed="false">
      <c r="B7" s="7" t="s">
        <v>13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0</v>
      </c>
      <c r="H7" s="8" t="n">
        <v>0</v>
      </c>
      <c r="I7" s="8" t="n">
        <v>0</v>
      </c>
      <c r="J7" s="8" t="n">
        <v>0</v>
      </c>
    </row>
    <row r="8" customFormat="false" ht="21.75" hidden="false" customHeight="true" outlineLevel="0" collapsed="false">
      <c r="B8" s="9" t="s">
        <v>14</v>
      </c>
      <c r="C8" s="8" t="n">
        <v>0</v>
      </c>
      <c r="D8" s="8" t="n">
        <v>0</v>
      </c>
      <c r="E8" s="8" t="n">
        <v>0</v>
      </c>
      <c r="F8" s="8" t="n">
        <v>0</v>
      </c>
      <c r="G8" s="8" t="n">
        <v>0</v>
      </c>
      <c r="H8" s="8" t="n">
        <v>0</v>
      </c>
      <c r="I8" s="8" t="n">
        <v>0</v>
      </c>
      <c r="J8" s="8" t="n">
        <v>0</v>
      </c>
    </row>
    <row r="9" customFormat="false" ht="21.75" hidden="false" customHeight="true" outlineLevel="0" collapsed="false">
      <c r="B9" s="7" t="s">
        <v>15</v>
      </c>
      <c r="C9" s="10" t="n">
        <v>0</v>
      </c>
      <c r="D9" s="10" t="n">
        <v>0</v>
      </c>
      <c r="E9" s="10" t="n">
        <v>0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0</v>
      </c>
    </row>
    <row r="10" customFormat="false" ht="19.5" hidden="false" customHeight="true" outlineLevel="0" collapsed="false">
      <c r="B10" s="6" t="s">
        <v>16</v>
      </c>
      <c r="C10" s="6"/>
      <c r="D10" s="6"/>
      <c r="E10" s="6"/>
      <c r="F10" s="6"/>
      <c r="G10" s="6"/>
      <c r="H10" s="6"/>
      <c r="I10" s="6"/>
      <c r="J10" s="6"/>
    </row>
    <row r="11" customFormat="false" ht="21.75" hidden="false" customHeight="true" outlineLevel="0" collapsed="false">
      <c r="B11" s="7" t="s">
        <v>17</v>
      </c>
      <c r="C11" s="8" t="n">
        <v>0</v>
      </c>
      <c r="D11" s="8" t="n">
        <v>0</v>
      </c>
      <c r="E11" s="8" t="n">
        <v>0</v>
      </c>
      <c r="F11" s="8" t="n">
        <v>0</v>
      </c>
      <c r="G11" s="8" t="n">
        <v>0</v>
      </c>
      <c r="H11" s="8" t="n">
        <v>0</v>
      </c>
      <c r="I11" s="8" t="n">
        <v>0</v>
      </c>
      <c r="J11" s="8" t="n">
        <v>0</v>
      </c>
    </row>
    <row r="12" customFormat="false" ht="21.75" hidden="false" customHeight="true" outlineLevel="0" collapsed="false">
      <c r="B12" s="7" t="s">
        <v>18</v>
      </c>
      <c r="C12" s="8" t="n">
        <v>0</v>
      </c>
      <c r="D12" s="8" t="n">
        <v>0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0</v>
      </c>
      <c r="J12" s="8" t="n">
        <v>0</v>
      </c>
    </row>
    <row r="13" customFormat="false" ht="21.75" hidden="false" customHeight="true" outlineLevel="0" collapsed="false">
      <c r="B13" s="7" t="s">
        <v>19</v>
      </c>
      <c r="C13" s="8" t="n">
        <v>0</v>
      </c>
      <c r="D13" s="8" t="n">
        <v>0</v>
      </c>
      <c r="E13" s="8" t="n">
        <v>0</v>
      </c>
      <c r="F13" s="8" t="n">
        <v>0</v>
      </c>
      <c r="G13" s="8" t="n">
        <v>0</v>
      </c>
      <c r="H13" s="8" t="n">
        <v>0</v>
      </c>
      <c r="I13" s="8" t="n">
        <v>0</v>
      </c>
      <c r="J13" s="8" t="n">
        <v>0</v>
      </c>
    </row>
    <row r="14" customFormat="false" ht="21.75" hidden="false" customHeight="true" outlineLevel="0" collapsed="false">
      <c r="B14" s="7" t="s">
        <v>20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  <c r="H14" s="8" t="n">
        <v>0</v>
      </c>
      <c r="I14" s="8" t="n">
        <v>0</v>
      </c>
      <c r="J14" s="8" t="n">
        <v>0</v>
      </c>
    </row>
    <row r="15" customFormat="false" ht="19.5" hidden="false" customHeight="true" outlineLevel="0" collapsed="false">
      <c r="B15" s="6" t="s">
        <v>21</v>
      </c>
      <c r="C15" s="6"/>
      <c r="D15" s="6"/>
      <c r="E15" s="6"/>
      <c r="F15" s="6"/>
      <c r="G15" s="6"/>
      <c r="H15" s="6"/>
      <c r="I15" s="6"/>
      <c r="J15" s="6"/>
    </row>
    <row r="16" customFormat="false" ht="21.75" hidden="false" customHeight="true" outlineLevel="0" collapsed="false">
      <c r="B16" s="9" t="s">
        <v>22</v>
      </c>
      <c r="C16" s="8" t="n">
        <v>0</v>
      </c>
      <c r="D16" s="8" t="n">
        <v>0</v>
      </c>
      <c r="E16" s="8" t="n">
        <v>0</v>
      </c>
      <c r="F16" s="8" t="n">
        <v>0</v>
      </c>
      <c r="G16" s="8" t="n">
        <v>0</v>
      </c>
      <c r="H16" s="8" t="n">
        <v>0</v>
      </c>
      <c r="I16" s="8" t="n">
        <v>0</v>
      </c>
      <c r="J16" s="8" t="n">
        <v>0</v>
      </c>
    </row>
    <row r="17" customFormat="false" ht="21.75" hidden="false" customHeight="true" outlineLevel="0" collapsed="false">
      <c r="B17" s="7" t="s">
        <v>23</v>
      </c>
      <c r="C17" s="10" t="n">
        <v>0</v>
      </c>
      <c r="D17" s="10" t="n">
        <v>0</v>
      </c>
      <c r="E17" s="10" t="n">
        <v>0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0</v>
      </c>
    </row>
    <row r="18" customFormat="false" ht="21.75" hidden="false" customHeight="true" outlineLevel="0" collapsed="false">
      <c r="B18" s="7" t="s">
        <v>24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</row>
    <row r="19" customFormat="false" ht="21.75" hidden="false" customHeight="true" outlineLevel="0" collapsed="false">
      <c r="B19" s="9" t="s">
        <v>25</v>
      </c>
      <c r="C19" s="8" t="n">
        <v>0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</row>
    <row r="20" customFormat="false" ht="21.75" hidden="false" customHeight="true" outlineLevel="0" collapsed="false">
      <c r="B20" s="7" t="s">
        <v>26</v>
      </c>
      <c r="C20" s="10" t="n">
        <v>0</v>
      </c>
      <c r="D20" s="10" t="n">
        <v>0</v>
      </c>
      <c r="E20" s="10" t="n">
        <v>0</v>
      </c>
      <c r="F20" s="10" t="n">
        <v>0</v>
      </c>
      <c r="G20" s="10" t="n">
        <v>0</v>
      </c>
      <c r="H20" s="10" t="n">
        <v>0</v>
      </c>
      <c r="I20" s="10" t="n">
        <v>0</v>
      </c>
      <c r="J20" s="10" t="n">
        <v>0</v>
      </c>
    </row>
    <row r="21" customFormat="false" ht="21.75" hidden="false" customHeight="true" outlineLevel="0" collapsed="false">
      <c r="B21" s="7" t="s">
        <v>27</v>
      </c>
      <c r="C21" s="8" t="n">
        <v>0</v>
      </c>
      <c r="D21" s="8" t="n">
        <v>0</v>
      </c>
      <c r="E21" s="8" t="n">
        <v>0</v>
      </c>
      <c r="F21" s="8" t="n">
        <v>0</v>
      </c>
      <c r="G21" s="8" t="n">
        <v>0</v>
      </c>
      <c r="H21" s="8" t="n">
        <v>0</v>
      </c>
      <c r="I21" s="8" t="n">
        <v>0</v>
      </c>
      <c r="J21" s="8" t="n">
        <v>0</v>
      </c>
    </row>
    <row r="22" customFormat="false" ht="21.75" hidden="false" customHeight="true" outlineLevel="0" collapsed="false">
      <c r="B22" s="9" t="s">
        <v>28</v>
      </c>
      <c r="C22" s="8" t="n">
        <v>0</v>
      </c>
      <c r="D22" s="8" t="n">
        <v>0</v>
      </c>
      <c r="E22" s="8" t="n">
        <v>0</v>
      </c>
      <c r="F22" s="8" t="n">
        <v>0</v>
      </c>
      <c r="G22" s="8" t="n">
        <v>0</v>
      </c>
      <c r="H22" s="8" t="n">
        <v>0</v>
      </c>
      <c r="I22" s="8" t="n">
        <v>0</v>
      </c>
      <c r="J22" s="8" t="n">
        <v>0</v>
      </c>
    </row>
    <row r="23" customFormat="false" ht="21.75" hidden="false" customHeight="true" outlineLevel="0" collapsed="false">
      <c r="B23" s="7" t="s">
        <v>29</v>
      </c>
      <c r="C23" s="10" t="n">
        <v>0</v>
      </c>
      <c r="D23" s="10" t="n">
        <v>0</v>
      </c>
      <c r="E23" s="10" t="n">
        <v>0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0</v>
      </c>
    </row>
    <row r="24" customFormat="false" ht="21.75" hidden="false" customHeight="true" outlineLevel="0" collapsed="false">
      <c r="B24" s="9" t="s">
        <v>30</v>
      </c>
      <c r="C24" s="8" t="n">
        <v>0</v>
      </c>
      <c r="D24" s="8" t="n">
        <v>0</v>
      </c>
      <c r="E24" s="8" t="n">
        <v>0</v>
      </c>
      <c r="F24" s="8" t="n">
        <v>0</v>
      </c>
      <c r="G24" s="8" t="n">
        <v>0</v>
      </c>
      <c r="H24" s="8" t="n">
        <v>0</v>
      </c>
      <c r="I24" s="8" t="n">
        <v>0</v>
      </c>
      <c r="J24" s="8" t="n">
        <v>0</v>
      </c>
    </row>
    <row r="25" customFormat="false" ht="21.75" hidden="false" customHeight="true" outlineLevel="0" collapsed="false">
      <c r="B25" s="7" t="s">
        <v>31</v>
      </c>
      <c r="C25" s="10" t="n">
        <v>0</v>
      </c>
      <c r="D25" s="10" t="n">
        <v>0</v>
      </c>
      <c r="E25" s="10" t="n">
        <v>0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0</v>
      </c>
    </row>
    <row r="26" customFormat="false" ht="19.5" hidden="false" customHeight="true" outlineLevel="0" collapsed="false">
      <c r="B26" s="6" t="s">
        <v>32</v>
      </c>
      <c r="C26" s="6"/>
      <c r="D26" s="6"/>
      <c r="E26" s="6"/>
      <c r="F26" s="6"/>
      <c r="G26" s="6"/>
      <c r="H26" s="6"/>
      <c r="I26" s="6"/>
      <c r="J26" s="6"/>
    </row>
    <row r="27" customFormat="false" ht="21.75" hidden="false" customHeight="true" outlineLevel="0" collapsed="false">
      <c r="B27" s="7" t="s">
        <v>33</v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</v>
      </c>
      <c r="J27" s="8" t="n">
        <v>0</v>
      </c>
    </row>
  </sheetData>
  <mergeCells count="6">
    <mergeCell ref="B1:J1"/>
    <mergeCell ref="B2:J2"/>
    <mergeCell ref="B5:J5"/>
    <mergeCell ref="B10:J10"/>
    <mergeCell ref="B15:J15"/>
    <mergeCell ref="B26:J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5200"/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10" min="3" style="1" width="13"/>
    <col collapsed="false" customWidth="true" hidden="false" outlineLevel="0" max="11" min="11" style="1" width="16"/>
    <col collapsed="false" customWidth="true" hidden="false" outlineLevel="0" max="12" min="12" style="1" width="3"/>
  </cols>
  <sheetData>
    <row r="1" customFormat="false" ht="30" hidden="false" customHeight="true" outlineLevel="0" collapsed="false">
      <c r="A1" s="2"/>
      <c r="B1" s="3" t="s">
        <v>34</v>
      </c>
      <c r="C1" s="3"/>
      <c r="D1" s="3"/>
      <c r="E1" s="3"/>
      <c r="F1" s="3"/>
      <c r="G1" s="3"/>
      <c r="H1" s="3"/>
      <c r="I1" s="3"/>
      <c r="J1" s="3"/>
      <c r="K1" s="3"/>
      <c r="L1" s="2"/>
    </row>
    <row r="2" customFormat="false" ht="27.75" hidden="false" customHeight="true" outlineLevel="0" collapsed="false">
      <c r="B2" s="11" t="s">
        <v>35</v>
      </c>
      <c r="C2" s="11"/>
      <c r="D2" s="11"/>
      <c r="E2" s="11"/>
      <c r="F2" s="11"/>
      <c r="G2" s="11"/>
      <c r="H2" s="11"/>
      <c r="I2" s="11"/>
      <c r="J2" s="11"/>
      <c r="K2" s="11"/>
    </row>
    <row r="3" customFormat="false" ht="21.75" hidden="false" customHeight="true" outlineLevel="0" collapsed="false">
      <c r="B3" s="5" t="s">
        <v>36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5" t="s">
        <v>10</v>
      </c>
      <c r="K3" s="5" t="s">
        <v>37</v>
      </c>
    </row>
    <row r="4" customFormat="false" ht="21.75" hidden="false" customHeight="true" outlineLevel="0" collapsed="false">
      <c r="B4" s="7" t="s">
        <v>38</v>
      </c>
      <c r="C4" s="12" t="n">
        <f aca="false">'Data Entry'!C6</f>
        <v>0</v>
      </c>
      <c r="D4" s="12" t="n">
        <f aca="false">'Data Entry'!D6</f>
        <v>0</v>
      </c>
      <c r="E4" s="12" t="n">
        <f aca="false">'Data Entry'!E6</f>
        <v>0</v>
      </c>
      <c r="F4" s="12" t="n">
        <f aca="false">'Data Entry'!F6</f>
        <v>0</v>
      </c>
      <c r="G4" s="12" t="n">
        <f aca="false">'Data Entry'!G6</f>
        <v>0</v>
      </c>
      <c r="H4" s="12" t="n">
        <f aca="false">'Data Entry'!H6</f>
        <v>0</v>
      </c>
      <c r="I4" s="12" t="n">
        <f aca="false">'Data Entry'!I6</f>
        <v>0</v>
      </c>
      <c r="J4" s="12" t="n">
        <f aca="false">'Data Entry'!J6</f>
        <v>0</v>
      </c>
      <c r="K4" s="13" t="n">
        <f aca="false">IFERROR(J4-C4,0)</f>
        <v>0</v>
      </c>
    </row>
    <row r="5" customFormat="false" ht="21.75" hidden="false" customHeight="true" outlineLevel="0" collapsed="false">
      <c r="B5" s="7" t="s">
        <v>39</v>
      </c>
      <c r="C5" s="12" t="n">
        <f aca="false">'Data Entry'!C7</f>
        <v>0</v>
      </c>
      <c r="D5" s="12" t="n">
        <f aca="false">'Data Entry'!D7</f>
        <v>0</v>
      </c>
      <c r="E5" s="12" t="n">
        <f aca="false">'Data Entry'!E7</f>
        <v>0</v>
      </c>
      <c r="F5" s="12" t="n">
        <f aca="false">'Data Entry'!F7</f>
        <v>0</v>
      </c>
      <c r="G5" s="12" t="n">
        <f aca="false">'Data Entry'!G7</f>
        <v>0</v>
      </c>
      <c r="H5" s="12" t="n">
        <f aca="false">'Data Entry'!H7</f>
        <v>0</v>
      </c>
      <c r="I5" s="12" t="n">
        <f aca="false">'Data Entry'!I7</f>
        <v>0</v>
      </c>
      <c r="J5" s="12" t="n">
        <f aca="false">'Data Entry'!J7</f>
        <v>0</v>
      </c>
      <c r="K5" s="13" t="n">
        <f aca="false">IFERROR(J5-C5,0)</f>
        <v>0</v>
      </c>
    </row>
    <row r="6" customFormat="false" ht="21.75" hidden="false" customHeight="true" outlineLevel="0" collapsed="false">
      <c r="B6" s="9" t="s">
        <v>40</v>
      </c>
      <c r="C6" s="14" t="n">
        <f aca="false">'Data Entry'!C8</f>
        <v>0</v>
      </c>
      <c r="D6" s="14" t="n">
        <f aca="false">'Data Entry'!D8</f>
        <v>0</v>
      </c>
      <c r="E6" s="14" t="n">
        <f aca="false">'Data Entry'!E8</f>
        <v>0</v>
      </c>
      <c r="F6" s="14" t="n">
        <f aca="false">'Data Entry'!F8</f>
        <v>0</v>
      </c>
      <c r="G6" s="14" t="n">
        <f aca="false">'Data Entry'!G8</f>
        <v>0</v>
      </c>
      <c r="H6" s="14" t="n">
        <f aca="false">'Data Entry'!H8</f>
        <v>0</v>
      </c>
      <c r="I6" s="14" t="n">
        <f aca="false">'Data Entry'!I8</f>
        <v>0</v>
      </c>
      <c r="J6" s="14" t="n">
        <f aca="false">'Data Entry'!J8</f>
        <v>0</v>
      </c>
      <c r="K6" s="13" t="n">
        <f aca="false">IFERROR(J6-C6,0)</f>
        <v>0</v>
      </c>
    </row>
    <row r="7" customFormat="false" ht="21.75" hidden="false" customHeight="true" outlineLevel="0" collapsed="false">
      <c r="B7" s="7" t="s">
        <v>41</v>
      </c>
      <c r="C7" s="15" t="n">
        <f aca="false">'Data Entry'!C9</f>
        <v>0</v>
      </c>
      <c r="D7" s="15" t="n">
        <f aca="false">'Data Entry'!D9</f>
        <v>0</v>
      </c>
      <c r="E7" s="15" t="n">
        <f aca="false">'Data Entry'!E9</f>
        <v>0</v>
      </c>
      <c r="F7" s="15" t="n">
        <f aca="false">'Data Entry'!F9</f>
        <v>0</v>
      </c>
      <c r="G7" s="15" t="n">
        <f aca="false">'Data Entry'!G9</f>
        <v>0</v>
      </c>
      <c r="H7" s="15" t="n">
        <f aca="false">'Data Entry'!H9</f>
        <v>0</v>
      </c>
      <c r="I7" s="15" t="n">
        <f aca="false">'Data Entry'!I9</f>
        <v>0</v>
      </c>
      <c r="J7" s="15" t="n">
        <f aca="false">'Data Entry'!J9</f>
        <v>0</v>
      </c>
      <c r="K7" s="16" t="n">
        <f aca="false">IFERROR(J7-C7,0)</f>
        <v>0</v>
      </c>
    </row>
    <row r="8" customFormat="false" ht="21.75" hidden="false" customHeight="true" outlineLevel="0" collapsed="false">
      <c r="B8" s="7" t="s">
        <v>42</v>
      </c>
      <c r="C8" s="12" t="n">
        <f aca="false">'Data Entry'!C11</f>
        <v>0</v>
      </c>
      <c r="D8" s="12" t="n">
        <f aca="false">'Data Entry'!D11</f>
        <v>0</v>
      </c>
      <c r="E8" s="12" t="n">
        <f aca="false">'Data Entry'!E11</f>
        <v>0</v>
      </c>
      <c r="F8" s="12" t="n">
        <f aca="false">'Data Entry'!F11</f>
        <v>0</v>
      </c>
      <c r="G8" s="12" t="n">
        <f aca="false">'Data Entry'!G11</f>
        <v>0</v>
      </c>
      <c r="H8" s="12" t="n">
        <f aca="false">'Data Entry'!H11</f>
        <v>0</v>
      </c>
      <c r="I8" s="12" t="n">
        <f aca="false">'Data Entry'!I11</f>
        <v>0</v>
      </c>
      <c r="J8" s="12" t="n">
        <f aca="false">'Data Entry'!J11</f>
        <v>0</v>
      </c>
      <c r="K8" s="13" t="n">
        <f aca="false">IFERROR(J8-C8,0)</f>
        <v>0</v>
      </c>
    </row>
    <row r="9" customFormat="false" ht="21.75" hidden="false" customHeight="true" outlineLevel="0" collapsed="false">
      <c r="B9" s="7" t="s">
        <v>43</v>
      </c>
      <c r="C9" s="12" t="n">
        <f aca="false">'Data Entry'!C12</f>
        <v>0</v>
      </c>
      <c r="D9" s="12" t="n">
        <f aca="false">'Data Entry'!D12</f>
        <v>0</v>
      </c>
      <c r="E9" s="12" t="n">
        <f aca="false">'Data Entry'!E12</f>
        <v>0</v>
      </c>
      <c r="F9" s="12" t="n">
        <f aca="false">'Data Entry'!F12</f>
        <v>0</v>
      </c>
      <c r="G9" s="12" t="n">
        <f aca="false">'Data Entry'!G12</f>
        <v>0</v>
      </c>
      <c r="H9" s="12" t="n">
        <f aca="false">'Data Entry'!H12</f>
        <v>0</v>
      </c>
      <c r="I9" s="12" t="n">
        <f aca="false">'Data Entry'!I12</f>
        <v>0</v>
      </c>
      <c r="J9" s="12" t="n">
        <f aca="false">'Data Entry'!J12</f>
        <v>0</v>
      </c>
      <c r="K9" s="13" t="n">
        <f aca="false">IFERROR(J9-C9,0)</f>
        <v>0</v>
      </c>
    </row>
    <row r="10" customFormat="false" ht="21.75" hidden="false" customHeight="true" outlineLevel="0" collapsed="false">
      <c r="B10" s="7" t="s">
        <v>44</v>
      </c>
      <c r="C10" s="12" t="n">
        <f aca="false">'Data Entry'!C13</f>
        <v>0</v>
      </c>
      <c r="D10" s="12" t="n">
        <f aca="false">'Data Entry'!D13</f>
        <v>0</v>
      </c>
      <c r="E10" s="12" t="n">
        <f aca="false">'Data Entry'!E13</f>
        <v>0</v>
      </c>
      <c r="F10" s="12" t="n">
        <f aca="false">'Data Entry'!F13</f>
        <v>0</v>
      </c>
      <c r="G10" s="12" t="n">
        <f aca="false">'Data Entry'!G13</f>
        <v>0</v>
      </c>
      <c r="H10" s="12" t="n">
        <f aca="false">'Data Entry'!H13</f>
        <v>0</v>
      </c>
      <c r="I10" s="12" t="n">
        <f aca="false">'Data Entry'!I13</f>
        <v>0</v>
      </c>
      <c r="J10" s="12" t="n">
        <f aca="false">'Data Entry'!J13</f>
        <v>0</v>
      </c>
      <c r="K10" s="13" t="n">
        <f aca="false">IFERROR(J10-C10,0)</f>
        <v>0</v>
      </c>
    </row>
    <row r="11" customFormat="false" ht="21.75" hidden="false" customHeight="true" outlineLevel="0" collapsed="false">
      <c r="B11" s="9" t="s">
        <v>45</v>
      </c>
      <c r="C11" s="14" t="n">
        <f aca="false">'Data Entry'!C16</f>
        <v>0</v>
      </c>
      <c r="D11" s="14" t="n">
        <f aca="false">'Data Entry'!D16</f>
        <v>0</v>
      </c>
      <c r="E11" s="14" t="n">
        <f aca="false">'Data Entry'!E16</f>
        <v>0</v>
      </c>
      <c r="F11" s="14" t="n">
        <f aca="false">'Data Entry'!F16</f>
        <v>0</v>
      </c>
      <c r="G11" s="14" t="n">
        <f aca="false">'Data Entry'!G16</f>
        <v>0</v>
      </c>
      <c r="H11" s="14" t="n">
        <f aca="false">'Data Entry'!H16</f>
        <v>0</v>
      </c>
      <c r="I11" s="14" t="n">
        <f aca="false">'Data Entry'!I16</f>
        <v>0</v>
      </c>
      <c r="J11" s="14" t="n">
        <f aca="false">'Data Entry'!J16</f>
        <v>0</v>
      </c>
      <c r="K11" s="13" t="n">
        <f aca="false">IFERROR(J11-C11,0)</f>
        <v>0</v>
      </c>
    </row>
    <row r="12" customFormat="false" ht="21.75" hidden="false" customHeight="true" outlineLevel="0" collapsed="false">
      <c r="B12" s="7" t="s">
        <v>46</v>
      </c>
      <c r="C12" s="15" t="n">
        <f aca="false">'Data Entry'!C17</f>
        <v>0</v>
      </c>
      <c r="D12" s="15" t="n">
        <f aca="false">'Data Entry'!D17</f>
        <v>0</v>
      </c>
      <c r="E12" s="15" t="n">
        <f aca="false">'Data Entry'!E17</f>
        <v>0</v>
      </c>
      <c r="F12" s="15" t="n">
        <f aca="false">'Data Entry'!F17</f>
        <v>0</v>
      </c>
      <c r="G12" s="15" t="n">
        <f aca="false">'Data Entry'!G17</f>
        <v>0</v>
      </c>
      <c r="H12" s="15" t="n">
        <f aca="false">'Data Entry'!H17</f>
        <v>0</v>
      </c>
      <c r="I12" s="15" t="n">
        <f aca="false">'Data Entry'!I17</f>
        <v>0</v>
      </c>
      <c r="J12" s="15" t="n">
        <f aca="false">'Data Entry'!J17</f>
        <v>0</v>
      </c>
      <c r="K12" s="16" t="n">
        <f aca="false">IFERROR(J12-C12,0)</f>
        <v>0</v>
      </c>
    </row>
    <row r="13" customFormat="false" ht="21.75" hidden="false" customHeight="true" outlineLevel="0" collapsed="false">
      <c r="B13" s="7" t="s">
        <v>47</v>
      </c>
      <c r="C13" s="12" t="n">
        <f aca="false">'Data Entry'!C18</f>
        <v>0</v>
      </c>
      <c r="D13" s="12" t="n">
        <f aca="false">'Data Entry'!D18</f>
        <v>0</v>
      </c>
      <c r="E13" s="12" t="n">
        <f aca="false">'Data Entry'!E18</f>
        <v>0</v>
      </c>
      <c r="F13" s="12" t="n">
        <f aca="false">'Data Entry'!F18</f>
        <v>0</v>
      </c>
      <c r="G13" s="12" t="n">
        <f aca="false">'Data Entry'!G18</f>
        <v>0</v>
      </c>
      <c r="H13" s="12" t="n">
        <f aca="false">'Data Entry'!H18</f>
        <v>0</v>
      </c>
      <c r="I13" s="12" t="n">
        <f aca="false">'Data Entry'!I18</f>
        <v>0</v>
      </c>
      <c r="J13" s="12" t="n">
        <f aca="false">'Data Entry'!J18</f>
        <v>0</v>
      </c>
      <c r="K13" s="13" t="n">
        <f aca="false">IFERROR(J13-C13,0)</f>
        <v>0</v>
      </c>
    </row>
    <row r="14" customFormat="false" ht="21.75" hidden="false" customHeight="true" outlineLevel="0" collapsed="false">
      <c r="B14" s="9" t="s">
        <v>48</v>
      </c>
      <c r="C14" s="14" t="n">
        <f aca="false">'Data Entry'!C19</f>
        <v>0</v>
      </c>
      <c r="D14" s="14" t="n">
        <f aca="false">'Data Entry'!D19</f>
        <v>0</v>
      </c>
      <c r="E14" s="14" t="n">
        <f aca="false">'Data Entry'!E19</f>
        <v>0</v>
      </c>
      <c r="F14" s="14" t="n">
        <f aca="false">'Data Entry'!F19</f>
        <v>0</v>
      </c>
      <c r="G14" s="14" t="n">
        <f aca="false">'Data Entry'!G19</f>
        <v>0</v>
      </c>
      <c r="H14" s="14" t="n">
        <f aca="false">'Data Entry'!H19</f>
        <v>0</v>
      </c>
      <c r="I14" s="14" t="n">
        <f aca="false">'Data Entry'!I19</f>
        <v>0</v>
      </c>
      <c r="J14" s="14" t="n">
        <f aca="false">'Data Entry'!J19</f>
        <v>0</v>
      </c>
      <c r="K14" s="13" t="n">
        <f aca="false">IFERROR(J14-C14,0)</f>
        <v>0</v>
      </c>
    </row>
    <row r="15" customFormat="false" ht="21.75" hidden="false" customHeight="true" outlineLevel="0" collapsed="false">
      <c r="B15" s="7" t="s">
        <v>49</v>
      </c>
      <c r="C15" s="15" t="n">
        <f aca="false">'Data Entry'!C20</f>
        <v>0</v>
      </c>
      <c r="D15" s="15" t="n">
        <f aca="false">'Data Entry'!D20</f>
        <v>0</v>
      </c>
      <c r="E15" s="15" t="n">
        <f aca="false">'Data Entry'!E20</f>
        <v>0</v>
      </c>
      <c r="F15" s="15" t="n">
        <f aca="false">'Data Entry'!F20</f>
        <v>0</v>
      </c>
      <c r="G15" s="15" t="n">
        <f aca="false">'Data Entry'!G20</f>
        <v>0</v>
      </c>
      <c r="H15" s="15" t="n">
        <f aca="false">'Data Entry'!H20</f>
        <v>0</v>
      </c>
      <c r="I15" s="15" t="n">
        <f aca="false">'Data Entry'!I20</f>
        <v>0</v>
      </c>
      <c r="J15" s="15" t="n">
        <f aca="false">'Data Entry'!J20</f>
        <v>0</v>
      </c>
      <c r="K15" s="16" t="n">
        <f aca="false">IFERROR(J15-C15,0)</f>
        <v>0</v>
      </c>
    </row>
    <row r="16" customFormat="false" ht="21.75" hidden="false" customHeight="true" outlineLevel="0" collapsed="false">
      <c r="B16" s="9" t="s">
        <v>50</v>
      </c>
      <c r="C16" s="14" t="n">
        <f aca="false">'Data Entry'!C22</f>
        <v>0</v>
      </c>
      <c r="D16" s="14" t="n">
        <f aca="false">'Data Entry'!D22</f>
        <v>0</v>
      </c>
      <c r="E16" s="14" t="n">
        <f aca="false">'Data Entry'!E22</f>
        <v>0</v>
      </c>
      <c r="F16" s="14" t="n">
        <f aca="false">'Data Entry'!F22</f>
        <v>0</v>
      </c>
      <c r="G16" s="14" t="n">
        <f aca="false">'Data Entry'!G22</f>
        <v>0</v>
      </c>
      <c r="H16" s="14" t="n">
        <f aca="false">'Data Entry'!H22</f>
        <v>0</v>
      </c>
      <c r="I16" s="14" t="n">
        <f aca="false">'Data Entry'!I22</f>
        <v>0</v>
      </c>
      <c r="J16" s="14" t="n">
        <f aca="false">'Data Entry'!J22</f>
        <v>0</v>
      </c>
      <c r="K16" s="13" t="n">
        <f aca="false">IFERROR(J16-C16,0)</f>
        <v>0</v>
      </c>
    </row>
    <row r="17" customFormat="false" ht="21.75" hidden="false" customHeight="true" outlineLevel="0" collapsed="false">
      <c r="B17" s="7" t="s">
        <v>51</v>
      </c>
      <c r="C17" s="15" t="n">
        <f aca="false">'Data Entry'!C23</f>
        <v>0</v>
      </c>
      <c r="D17" s="15" t="n">
        <f aca="false">'Data Entry'!D23</f>
        <v>0</v>
      </c>
      <c r="E17" s="15" t="n">
        <f aca="false">'Data Entry'!E23</f>
        <v>0</v>
      </c>
      <c r="F17" s="15" t="n">
        <f aca="false">'Data Entry'!F23</f>
        <v>0</v>
      </c>
      <c r="G17" s="15" t="n">
        <f aca="false">'Data Entry'!G23</f>
        <v>0</v>
      </c>
      <c r="H17" s="15" t="n">
        <f aca="false">'Data Entry'!H23</f>
        <v>0</v>
      </c>
      <c r="I17" s="15" t="n">
        <f aca="false">'Data Entry'!I23</f>
        <v>0</v>
      </c>
      <c r="J17" s="15" t="n">
        <f aca="false">'Data Entry'!J23</f>
        <v>0</v>
      </c>
      <c r="K17" s="16" t="n">
        <f aca="false">IFERROR(J17-C17,0)</f>
        <v>0</v>
      </c>
    </row>
    <row r="18" customFormat="false" ht="21.75" hidden="false" customHeight="true" outlineLevel="0" collapsed="false">
      <c r="B18" s="7" t="s">
        <v>52</v>
      </c>
      <c r="C18" s="15" t="n">
        <f aca="false">'Data Entry'!C25</f>
        <v>0</v>
      </c>
      <c r="D18" s="15" t="n">
        <f aca="false">'Data Entry'!D25</f>
        <v>0</v>
      </c>
      <c r="E18" s="15" t="n">
        <f aca="false">'Data Entry'!E25</f>
        <v>0</v>
      </c>
      <c r="F18" s="15" t="n">
        <f aca="false">'Data Entry'!F25</f>
        <v>0</v>
      </c>
      <c r="G18" s="15" t="n">
        <f aca="false">'Data Entry'!G25</f>
        <v>0</v>
      </c>
      <c r="H18" s="15" t="n">
        <f aca="false">'Data Entry'!H25</f>
        <v>0</v>
      </c>
      <c r="I18" s="15" t="n">
        <f aca="false">'Data Entry'!I25</f>
        <v>0</v>
      </c>
      <c r="J18" s="15" t="n">
        <f aca="false">'Data Entry'!J25</f>
        <v>0</v>
      </c>
      <c r="K18" s="16" t="n">
        <f aca="false">IFERROR(J18-C18,0)</f>
        <v>0</v>
      </c>
    </row>
    <row r="20" customFormat="false" ht="19.5" hidden="false" customHeight="true" outlineLevel="0" collapsed="false">
      <c r="B20" s="6" t="s">
        <v>53</v>
      </c>
      <c r="C20" s="6"/>
      <c r="D20" s="6"/>
      <c r="E20" s="6"/>
      <c r="F20" s="6"/>
      <c r="G20" s="6"/>
      <c r="H20" s="6"/>
      <c r="I20" s="6"/>
      <c r="J20" s="6"/>
      <c r="K20" s="6"/>
    </row>
    <row r="21" customFormat="false" ht="21.75" hidden="false" customHeight="true" outlineLevel="0" collapsed="false">
      <c r="B21" s="5" t="s">
        <v>2</v>
      </c>
      <c r="C21" s="5" t="s">
        <v>54</v>
      </c>
      <c r="D21" s="5" t="s">
        <v>55</v>
      </c>
      <c r="E21" s="5" t="s">
        <v>56</v>
      </c>
    </row>
    <row r="22" customFormat="false" ht="21.75" hidden="false" customHeight="true" outlineLevel="0" collapsed="false">
      <c r="B22" s="9" t="s">
        <v>15</v>
      </c>
      <c r="C22" s="17" t="n">
        <f aca="false">'Data Entry'!C9</f>
        <v>0</v>
      </c>
      <c r="D22" s="17" t="n">
        <f aca="false">'Data Entry'!J9</f>
        <v>0</v>
      </c>
      <c r="E22" s="16" t="n">
        <f aca="false">IFERROR(D22-C22,0)</f>
        <v>0</v>
      </c>
    </row>
    <row r="23" customFormat="false" ht="21.75" hidden="false" customHeight="true" outlineLevel="0" collapsed="false">
      <c r="B23" s="9" t="s">
        <v>23</v>
      </c>
      <c r="C23" s="17" t="n">
        <f aca="false">'Data Entry'!C17</f>
        <v>0</v>
      </c>
      <c r="D23" s="17" t="n">
        <f aca="false">'Data Entry'!J17</f>
        <v>0</v>
      </c>
      <c r="E23" s="16" t="n">
        <f aca="false">IFERROR(D23-C23,0)</f>
        <v>0</v>
      </c>
    </row>
    <row r="24" customFormat="false" ht="21.75" hidden="false" customHeight="true" outlineLevel="0" collapsed="false">
      <c r="B24" s="9" t="s">
        <v>26</v>
      </c>
      <c r="C24" s="17" t="n">
        <f aca="false">'Data Entry'!C20</f>
        <v>0</v>
      </c>
      <c r="D24" s="17" t="n">
        <f aca="false">'Data Entry'!J20</f>
        <v>0</v>
      </c>
      <c r="E24" s="16" t="n">
        <f aca="false">IFERROR(D24-C24,0)</f>
        <v>0</v>
      </c>
    </row>
    <row r="25" customFormat="false" ht="21.75" hidden="false" customHeight="true" outlineLevel="0" collapsed="false">
      <c r="B25" s="9" t="s">
        <v>29</v>
      </c>
      <c r="C25" s="17" t="n">
        <f aca="false">'Data Entry'!C23</f>
        <v>0</v>
      </c>
      <c r="D25" s="17" t="n">
        <f aca="false">'Data Entry'!J23</f>
        <v>0</v>
      </c>
      <c r="E25" s="16" t="n">
        <f aca="false">IFERROR(D25-C25,0)</f>
        <v>0</v>
      </c>
    </row>
    <row r="26" customFormat="false" ht="21.75" hidden="false" customHeight="true" outlineLevel="0" collapsed="false">
      <c r="B26" s="9" t="s">
        <v>31</v>
      </c>
      <c r="C26" s="17" t="n">
        <f aca="false">'Data Entry'!C25</f>
        <v>0</v>
      </c>
      <c r="D26" s="17" t="n">
        <f aca="false">'Data Entry'!J25</f>
        <v>0</v>
      </c>
      <c r="E26" s="16" t="n">
        <f aca="false">IFERROR(D26-C26,0)</f>
        <v>0</v>
      </c>
    </row>
  </sheetData>
  <mergeCells count="3">
    <mergeCell ref="B1:K1"/>
    <mergeCell ref="B2:K2"/>
    <mergeCell ref="B20:K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A0A0A"/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6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28"/>
    <col collapsed="false" customWidth="true" hidden="false" outlineLevel="0" max="6" min="6" style="1" width="3"/>
  </cols>
  <sheetData>
    <row r="1" customFormat="false" ht="30" hidden="false" customHeight="true" outlineLevel="0" collapsed="false">
      <c r="A1" s="2"/>
      <c r="B1" s="3" t="s">
        <v>57</v>
      </c>
      <c r="C1" s="3"/>
      <c r="D1" s="3"/>
      <c r="E1" s="3"/>
      <c r="F1" s="2"/>
    </row>
    <row r="2" customFormat="false" ht="15" hidden="false" customHeight="true" outlineLevel="0" collapsed="false">
      <c r="B2" s="4" t="s">
        <v>58</v>
      </c>
      <c r="C2" s="4"/>
      <c r="D2" s="4"/>
      <c r="E2" s="4"/>
    </row>
    <row r="4" customFormat="false" ht="19.5" hidden="false" customHeight="true" outlineLevel="0" collapsed="false">
      <c r="B4" s="6" t="s">
        <v>59</v>
      </c>
      <c r="C4" s="6"/>
      <c r="D4" s="6"/>
      <c r="E4" s="6"/>
    </row>
    <row r="5" customFormat="false" ht="21.75" hidden="false" customHeight="true" outlineLevel="0" collapsed="false">
      <c r="B5" s="5" t="s">
        <v>2</v>
      </c>
      <c r="C5" s="5" t="s">
        <v>55</v>
      </c>
      <c r="D5" s="5" t="s">
        <v>60</v>
      </c>
      <c r="E5" s="5" t="s">
        <v>61</v>
      </c>
    </row>
    <row r="6" customFormat="false" ht="24" hidden="false" customHeight="true" outlineLevel="0" collapsed="false">
      <c r="B6" s="9" t="s">
        <v>15</v>
      </c>
      <c r="C6" s="17" t="n">
        <f aca="false">'Data Entry'!J9</f>
        <v>0</v>
      </c>
      <c r="D6" s="15" t="n">
        <f aca="false">'Data Entry'!C9</f>
        <v>0</v>
      </c>
      <c r="E6" s="18" t="str">
        <f aca="false">IFERROR(IF('Data Entry'!J9&gt;=0.6,"🟢 ≥60% Strong",IF('Data Entry'!J9&gt;=0.4,"🟡 40–60%","🔴 &lt;40% Thin")),"-")</f>
        <v>🔴 &lt;40% Thin</v>
      </c>
    </row>
    <row r="7" customFormat="false" ht="24" hidden="false" customHeight="true" outlineLevel="0" collapsed="false">
      <c r="B7" s="9" t="s">
        <v>23</v>
      </c>
      <c r="C7" s="17" t="n">
        <f aca="false">'Data Entry'!J17</f>
        <v>0</v>
      </c>
      <c r="D7" s="15" t="n">
        <f aca="false">'Data Entry'!C17</f>
        <v>0</v>
      </c>
      <c r="E7" s="18" t="str">
        <f aca="false">IFERROR(IF('Data Entry'!J17&gt;=0.2,"🟢 ≥20%",IF('Data Entry'!J17&gt;=0,"🟡 0–20%","🔴 Negative EBITDA")),"-")</f>
        <v>🟡 0–20%</v>
      </c>
    </row>
    <row r="8" customFormat="false" ht="24" hidden="false" customHeight="true" outlineLevel="0" collapsed="false">
      <c r="B8" s="9" t="s">
        <v>26</v>
      </c>
      <c r="C8" s="17" t="n">
        <f aca="false">'Data Entry'!J20</f>
        <v>0</v>
      </c>
      <c r="D8" s="15" t="n">
        <f aca="false">'Data Entry'!C20</f>
        <v>0</v>
      </c>
      <c r="E8" s="18" t="str">
        <f aca="false">IFERROR(IF('Data Entry'!J20&gt;=0.15,"🟢 ≥15%",IF('Data Entry'!J20&gt;=0,"🟡 0–15%","🔴 Negative EBIT")),"-")</f>
        <v>🟡 0–15%</v>
      </c>
    </row>
    <row r="9" customFormat="false" ht="24" hidden="false" customHeight="true" outlineLevel="0" collapsed="false">
      <c r="B9" s="9" t="s">
        <v>29</v>
      </c>
      <c r="C9" s="17" t="n">
        <f aca="false">'Data Entry'!J23</f>
        <v>0</v>
      </c>
      <c r="D9" s="15" t="n">
        <f aca="false">'Data Entry'!C23</f>
        <v>0</v>
      </c>
      <c r="E9" s="18" t="str">
        <f aca="false">IFERROR(IF('Data Entry'!J23&gt;=0.1,"🟢 ≥10%",IF('Data Entry'!J23&gt;=0,"🟡 0–10%","🔴 Loss-making")),"-")</f>
        <v>🟡 0–10%</v>
      </c>
    </row>
    <row r="10" customFormat="false" ht="24" hidden="false" customHeight="true" outlineLevel="0" collapsed="false">
      <c r="B10" s="9" t="s">
        <v>62</v>
      </c>
      <c r="C10" s="17" t="n">
        <f aca="false">'Data Entry'!J25</f>
        <v>0</v>
      </c>
      <c r="D10" s="15" t="n">
        <f aca="false">'Data Entry'!C25</f>
        <v>0</v>
      </c>
      <c r="E10" s="19"/>
    </row>
    <row r="11" customFormat="false" ht="24" hidden="false" customHeight="true" outlineLevel="0" collapsed="false">
      <c r="B11" s="9" t="s">
        <v>63</v>
      </c>
      <c r="C11" s="17" t="n">
        <f aca="false">IFERROR('Data Entry'!J9-'Data Entry'!C9,0)</f>
        <v>0</v>
      </c>
      <c r="D11" s="19"/>
      <c r="E11" s="18" t="str">
        <f aca="false">IFERROR(IF('Data Entry'!J9&gt;='Data Entry'!C9,"🟢 Expanding or stable","🔴 Compressing"),"-")</f>
        <v>🟢 Expanding or stable</v>
      </c>
    </row>
    <row r="12" customFormat="false" ht="24" hidden="false" customHeight="true" outlineLevel="0" collapsed="false">
      <c r="B12" s="9" t="s">
        <v>64</v>
      </c>
      <c r="C12" s="17" t="n">
        <f aca="false">IFERROR('Data Entry'!J17-'Data Entry'!C17,0)</f>
        <v>0</v>
      </c>
      <c r="D12" s="19"/>
      <c r="E12" s="18" t="str">
        <f aca="false">IFERROR(IF('Data Entry'!J17&gt;='Data Entry'!C17,"🟢 Improving","🔴 Deteriorating"),"-")</f>
        <v>🟢 Improving</v>
      </c>
    </row>
    <row r="14" customFormat="false" ht="19.5" hidden="false" customHeight="true" outlineLevel="0" collapsed="false">
      <c r="B14" s="6" t="s">
        <v>65</v>
      </c>
      <c r="C14" s="6"/>
      <c r="D14" s="6"/>
      <c r="E14" s="6"/>
    </row>
    <row r="15" customFormat="false" ht="36" hidden="false" customHeight="true" outlineLevel="0" collapsed="false">
      <c r="B15" s="20" t="s">
        <v>66</v>
      </c>
      <c r="C15" s="20"/>
      <c r="D15" s="20"/>
      <c r="E15" s="20"/>
    </row>
    <row r="16" customFormat="false" ht="36" hidden="false" customHeight="true" outlineLevel="0" collapsed="false">
      <c r="B16" s="20" t="s">
        <v>67</v>
      </c>
      <c r="C16" s="20"/>
      <c r="D16" s="20"/>
      <c r="E16" s="20"/>
    </row>
    <row r="17" customFormat="false" ht="36" hidden="false" customHeight="true" outlineLevel="0" collapsed="false">
      <c r="B17" s="20" t="s">
        <v>68</v>
      </c>
      <c r="C17" s="20"/>
      <c r="D17" s="20"/>
      <c r="E17" s="20"/>
    </row>
  </sheetData>
  <mergeCells count="7">
    <mergeCell ref="B1:E1"/>
    <mergeCell ref="B2:E2"/>
    <mergeCell ref="B4:E4"/>
    <mergeCell ref="B14:E14"/>
    <mergeCell ref="B15:E15"/>
    <mergeCell ref="B16:E16"/>
    <mergeCell ref="B17:E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B1C1C"/>
    <pageSetUpPr fitToPage="false"/>
  </sheetPr>
  <dimension ref="A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38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5" min="5" style="1" width="3"/>
  </cols>
  <sheetData>
    <row r="1" customFormat="false" ht="30" hidden="false" customHeight="true" outlineLevel="0" collapsed="false">
      <c r="A1" s="2"/>
      <c r="B1" s="3" t="s">
        <v>69</v>
      </c>
      <c r="C1" s="3"/>
      <c r="D1" s="3"/>
      <c r="E1" s="2"/>
    </row>
    <row r="2" customFormat="false" ht="15" hidden="false" customHeight="true" outlineLevel="0" collapsed="false">
      <c r="B2" s="4" t="s">
        <v>70</v>
      </c>
      <c r="C2" s="4"/>
      <c r="D2" s="4"/>
    </row>
    <row r="4" customFormat="false" ht="19.5" hidden="false" customHeight="true" outlineLevel="0" collapsed="false">
      <c r="B4" s="6" t="s">
        <v>71</v>
      </c>
      <c r="C4" s="6"/>
      <c r="D4" s="6"/>
    </row>
    <row r="5" customFormat="false" ht="21.75" hidden="false" customHeight="true" outlineLevel="0" collapsed="false">
      <c r="B5" s="5" t="s">
        <v>72</v>
      </c>
      <c r="C5" s="5" t="s">
        <v>73</v>
      </c>
      <c r="D5" s="5" t="s">
        <v>74</v>
      </c>
    </row>
    <row r="6" customFormat="false" ht="25.5" hidden="false" customHeight="true" outlineLevel="0" collapsed="false">
      <c r="B6" s="9" t="s">
        <v>15</v>
      </c>
      <c r="C6" s="17" t="n">
        <f aca="false">'Data Entry'!J9</f>
        <v>0</v>
      </c>
      <c r="D6" s="18" t="str">
        <f aca="false">IFERROR(IF('Data Entry'!J9&gt;=0.6,"🟢 ≥60% Strong",IF('Data Entry'!J9&gt;=0.4,"🟡 40–60%","🔴 &lt;40% Thin")),"-")</f>
        <v>🔴 &lt;40% Thin</v>
      </c>
    </row>
    <row r="7" customFormat="false" ht="25.5" hidden="false" customHeight="true" outlineLevel="0" collapsed="false">
      <c r="B7" s="9" t="s">
        <v>23</v>
      </c>
      <c r="C7" s="17" t="n">
        <f aca="false">'Data Entry'!J17</f>
        <v>0</v>
      </c>
      <c r="D7" s="18" t="str">
        <f aca="false">IFERROR(IF('Data Entry'!J17&gt;=0.2,"🟢 ≥20%",IF('Data Entry'!J17&gt;=0,"🟡 0–20%","🔴 Negative EBITDA")),"-")</f>
        <v>🟡 0–20%</v>
      </c>
    </row>
    <row r="8" customFormat="false" ht="25.5" hidden="false" customHeight="true" outlineLevel="0" collapsed="false">
      <c r="B8" s="9" t="s">
        <v>26</v>
      </c>
      <c r="C8" s="17" t="n">
        <f aca="false">'Data Entry'!J20</f>
        <v>0</v>
      </c>
      <c r="D8" s="18" t="str">
        <f aca="false">IFERROR(IF('Data Entry'!J20&gt;=0.15,"🟢 ≥15%",IF('Data Entry'!J20&gt;=0,"🟡 0–15%","🔴 Negative EBIT")),"-")</f>
        <v>🟡 0–15%</v>
      </c>
    </row>
    <row r="9" customFormat="false" ht="25.5" hidden="false" customHeight="true" outlineLevel="0" collapsed="false">
      <c r="B9" s="9" t="s">
        <v>29</v>
      </c>
      <c r="C9" s="17" t="n">
        <f aca="false">'Data Entry'!J23</f>
        <v>0</v>
      </c>
      <c r="D9" s="18" t="str">
        <f aca="false">IFERROR(IF('Data Entry'!J23&gt;=0.1,"🟢 ≥10%",IF('Data Entry'!J23&gt;=0,"🟡 0–10%","🔴 Loss-making")),"-")</f>
        <v>🟡 0–10%</v>
      </c>
    </row>
    <row r="10" customFormat="false" ht="25.5" hidden="false" customHeight="true" outlineLevel="0" collapsed="false">
      <c r="B10" s="9" t="s">
        <v>62</v>
      </c>
      <c r="C10" s="17" t="n">
        <f aca="false">'Data Entry'!J25</f>
        <v>0</v>
      </c>
      <c r="D10" s="19"/>
    </row>
    <row r="11" customFormat="false" ht="25.5" hidden="false" customHeight="true" outlineLevel="0" collapsed="false">
      <c r="B11" s="9" t="s">
        <v>63</v>
      </c>
      <c r="C11" s="17" t="n">
        <f aca="false">IFERROR('Data Entry'!J9-'Data Entry'!C9,0)</f>
        <v>0</v>
      </c>
      <c r="D11" s="18" t="str">
        <f aca="false">IFERROR(IF('Data Entry'!J9&gt;='Data Entry'!C9,"🟢 Expanding or stable","🔴 Compressing"),"-")</f>
        <v>🟢 Expanding or stable</v>
      </c>
    </row>
    <row r="12" customFormat="false" ht="25.5" hidden="false" customHeight="true" outlineLevel="0" collapsed="false">
      <c r="B12" s="9" t="s">
        <v>64</v>
      </c>
      <c r="C12" s="17" t="n">
        <f aca="false">IFERROR('Data Entry'!J17-'Data Entry'!C17,0)</f>
        <v>0</v>
      </c>
      <c r="D12" s="18" t="str">
        <f aca="false">IFERROR(IF('Data Entry'!J17&gt;='Data Entry'!C17,"🟢 Improving","🔴 Deteriorating"),"-")</f>
        <v>🟢 Improving</v>
      </c>
    </row>
    <row r="14" customFormat="false" ht="19.5" hidden="false" customHeight="true" outlineLevel="0" collapsed="false">
      <c r="B14" s="6" t="s">
        <v>75</v>
      </c>
      <c r="C14" s="6"/>
      <c r="D14" s="6"/>
    </row>
    <row r="15" customFormat="false" ht="31.5" hidden="false" customHeight="true" outlineLevel="0" collapsed="false">
      <c r="B15" s="21"/>
      <c r="C15" s="21"/>
      <c r="D15" s="21"/>
    </row>
    <row r="16" customFormat="false" ht="31.5" hidden="false" customHeight="true" outlineLevel="0" collapsed="false">
      <c r="B16" s="21"/>
      <c r="C16" s="21"/>
      <c r="D16" s="21"/>
    </row>
    <row r="17" customFormat="false" ht="31.5" hidden="false" customHeight="true" outlineLevel="0" collapsed="false">
      <c r="B17" s="21"/>
      <c r="C17" s="21"/>
      <c r="D17" s="21"/>
    </row>
    <row r="18" customFormat="false" ht="31.5" hidden="false" customHeight="true" outlineLevel="0" collapsed="false">
      <c r="B18" s="21"/>
      <c r="C18" s="21"/>
      <c r="D18" s="21"/>
    </row>
    <row r="19" customFormat="false" ht="31.5" hidden="false" customHeight="true" outlineLevel="0" collapsed="false">
      <c r="B19" s="21"/>
      <c r="C19" s="21"/>
      <c r="D19" s="21"/>
    </row>
    <row r="20" customFormat="false" ht="31.5" hidden="false" customHeight="true" outlineLevel="0" collapsed="false">
      <c r="B20" s="21"/>
      <c r="C20" s="21"/>
      <c r="D20" s="21"/>
    </row>
    <row r="21" customFormat="false" ht="31.5" hidden="false" customHeight="true" outlineLevel="0" collapsed="false">
      <c r="B21" s="21"/>
      <c r="C21" s="21"/>
      <c r="D21" s="21"/>
    </row>
    <row r="22" customFormat="false" ht="31.5" hidden="false" customHeight="true" outlineLevel="0" collapsed="false">
      <c r="B22" s="21"/>
      <c r="C22" s="21"/>
      <c r="D22" s="21"/>
    </row>
  </sheetData>
  <mergeCells count="12">
    <mergeCell ref="B1:D1"/>
    <mergeCell ref="B2:D2"/>
    <mergeCell ref="B4:D4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2026-03-05T18:49:52Z</dcterms:created>
  <dc:creator>openpyxl</dc:creator>
  <dc:description/>
  <dc:language>en-US</dc:language>
  <cp:lastModifiedBy/>
  <dcterms:modified xsi:type="dcterms:W3CDTF">2026-03-05T18:52:18Z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