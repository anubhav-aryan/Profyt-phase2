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P&amp;L Inputs" sheetId="2" r:id="rId6"/>
    <sheet state="visible" name="Below-the-Line" sheetId="3" r:id="rId7"/>
  </sheets>
  <definedNames/>
  <calcPr/>
</workbook>
</file>

<file path=xl/sharedStrings.xml><?xml version="1.0" encoding="utf-8"?>
<sst xmlns="http://schemas.openxmlformats.org/spreadsheetml/2006/main" count="86" uniqueCount="77">
  <si>
    <t>PROFYT</t>
  </si>
  <si>
    <t>Margin Waterfall Analysis</t>
  </si>
  <si>
    <t>Client Input Template — Tier 2 · Tool 4</t>
  </si>
  <si>
    <t>Step 1  —  Enter 8 quarters of P&amp;L data in the P&amp;L Inputs tab — Q1 = oldest, Q8 = most recent.</t>
  </si>
  <si>
    <t>Step 2  —  Complete the Below-the-Line tab for interest, tax, and one-off items.</t>
  </si>
  <si>
    <t>Step 3  —  All monetary values in ₹ Crore. Expenses as positive numbers.</t>
  </si>
  <si>
    <t>Step 4  —  If a line is zero for a quarter, enter 0 — do not leave blanks.</t>
  </si>
  <si>
    <t>Step 5  —  EBITDA and EBIT are auto-calculated — do not override them.</t>
  </si>
  <si>
    <t>Yellow cell — enter your data here</t>
  </si>
  <si>
    <t>Grey cell — auto-calculated, do not edit</t>
  </si>
  <si>
    <t>Green text — linked from another sheet</t>
  </si>
  <si>
    <t>P&amp;L Inputs — 8 Quarters  (₹ Crore)</t>
  </si>
  <si>
    <t>All values in ₹ Crore. Expenses as positive numbers.</t>
  </si>
  <si>
    <t>Line Item</t>
  </si>
  <si>
    <t>Q1 (oldest)</t>
  </si>
  <si>
    <t>Q2</t>
  </si>
  <si>
    <t>Q3</t>
  </si>
  <si>
    <t>Q4</t>
  </si>
  <si>
    <t>Q5</t>
  </si>
  <si>
    <t>Q6</t>
  </si>
  <si>
    <t>Q7</t>
  </si>
  <si>
    <t>Q8 (latest)</t>
  </si>
  <si>
    <t>REVENUE</t>
  </si>
  <si>
    <t xml:space="preserve">  Product / SaaS Revenue</t>
  </si>
  <si>
    <t>Primary product or SaaS subscription revenue</t>
  </si>
  <si>
    <t xml:space="preserve">  Services / Implementation Revenue</t>
  </si>
  <si>
    <t>Professional services, implementation, training</t>
  </si>
  <si>
    <t xml:space="preserve">  Other Revenue</t>
  </si>
  <si>
    <t>Any other operating revenue</t>
  </si>
  <si>
    <t>TOTAL REVENUE</t>
  </si>
  <si>
    <t>COST OF REVENUE</t>
  </si>
  <si>
    <t xml:space="preserve">  Direct Labour / Delivery Costs</t>
  </si>
  <si>
    <t>Costs directly tied to delivering the product/service</t>
  </si>
  <si>
    <t xml:space="preserve">  Cloud &amp; Infrastructure COGS</t>
  </si>
  <si>
    <t>Hosting, API costs directly attributable to revenue</t>
  </si>
  <si>
    <t xml:space="preserve">  Materials &amp; Third-Party Costs</t>
  </si>
  <si>
    <t>Materials, outsourced delivery, direct pass-through costs</t>
  </si>
  <si>
    <t>TOTAL COGS</t>
  </si>
  <si>
    <t>GROSS PROFIT</t>
  </si>
  <si>
    <t>GROSS MARGIN %</t>
  </si>
  <si>
    <t>OPERATING EXPENSES</t>
  </si>
  <si>
    <t xml:space="preserve">  Research &amp; Development</t>
  </si>
  <si>
    <t>Engineering salaries, R&amp;D tools, product costs</t>
  </si>
  <si>
    <t xml:space="preserve">  Sales &amp; Marketing</t>
  </si>
  <si>
    <t>All sales and marketing costs including people</t>
  </si>
  <si>
    <t xml:space="preserve">  General &amp; Administrative</t>
  </si>
  <si>
    <t>G&amp;A — finance, legal, HR, admin, office</t>
  </si>
  <si>
    <t>TOTAL OPEX</t>
  </si>
  <si>
    <t>EBITDA</t>
  </si>
  <si>
    <t>EBITDA MARGIN %</t>
  </si>
  <si>
    <t>D&amp;A</t>
  </si>
  <si>
    <t xml:space="preserve">  Depreciation</t>
  </si>
  <si>
    <t>Fixed asset depreciation</t>
  </si>
  <si>
    <t xml:space="preserve">  Amortisation</t>
  </si>
  <si>
    <t>Intangible amortisation (incl. capitalised software)</t>
  </si>
  <si>
    <t>TOTAL D&amp;A</t>
  </si>
  <si>
    <t>EBIT</t>
  </si>
  <si>
    <t>EBIT MARGIN %</t>
  </si>
  <si>
    <t>Below-the-Line Items — 8 Quarters</t>
  </si>
  <si>
    <t>Interest, tax, one-off items. All positive numbers.</t>
  </si>
  <si>
    <t xml:space="preserve">  Interest Income</t>
  </si>
  <si>
    <t>Interest earned on cash/FDs</t>
  </si>
  <si>
    <t xml:space="preserve">  Interest Expense</t>
  </si>
  <si>
    <t>Interest paid on all loans and credit facilities</t>
  </si>
  <si>
    <t xml:space="preserve">  Other Finance Income / (Costs)</t>
  </si>
  <si>
    <t>FX gains, investment income, other finance items</t>
  </si>
  <si>
    <t>PBT (Profit Before Tax)</t>
  </si>
  <si>
    <t xml:space="preserve">  Income Tax (Current)</t>
  </si>
  <si>
    <t>Advance tax, TDS, current year tax provision</t>
  </si>
  <si>
    <t xml:space="preserve">  Deferred Tax Adjustment</t>
  </si>
  <si>
    <t>Net deferred tax asset/liability movement</t>
  </si>
  <si>
    <t>PAT (Profit After Tax)</t>
  </si>
  <si>
    <t>PAT MARGIN %</t>
  </si>
  <si>
    <t xml:space="preserve">  One-Off Items (Exceptional)</t>
  </si>
  <si>
    <t>Restructuring costs, asset write-offs, one-time charges — for normalisation</t>
  </si>
  <si>
    <t>Normalised PAT</t>
  </si>
  <si>
    <t>Normalised PAT Margin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</si>
</sst>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8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rgb="FFFFFFFF"/>
      <name val="Arial"/>
    </font>
    <font/>
    <font>
      <sz val="13.0"/>
      <color rgb="FFFFFFFF"/>
      <name val="Arial"/>
    </font>
    <font>
      <i/>
      <sz val="10.0"/>
      <color rgb="FF9A9A9A"/>
      <name val="Arial"/>
    </font>
    <font>
      <sz val="10.0"/>
      <color rgb="FF9A9A9A"/>
      <name val="Arial"/>
    </font>
    <font>
      <sz val="10.0"/>
      <color rgb="FF0000CC"/>
      <name val="Arial"/>
    </font>
    <font>
      <sz val="10.0"/>
      <color rgb="FF0A0A0A"/>
      <name val="Arial"/>
    </font>
    <font>
      <sz val="10.0"/>
      <color rgb="FF006600"/>
      <name val="Arial"/>
    </font>
    <font>
      <b/>
      <sz val="13.0"/>
      <color rgb="FFFFFFFF"/>
      <name val="Arial"/>
    </font>
    <font>
      <i/>
      <sz val="9.0"/>
      <color rgb="FF9A9A9A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sz val="10.0"/>
      <color rgb="FF2D2D2D"/>
      <name val="Arial"/>
    </font>
    <font>
      <sz val="11.0"/>
      <color rgb="FF0000CC"/>
      <name val="Arial"/>
    </font>
    <font>
      <b/>
      <sz val="10.0"/>
      <color rgb="FF2D2D2D"/>
      <name val="Arial"/>
    </font>
    <font>
      <b/>
      <sz val="10.0"/>
      <color rgb="FF0A0A0A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A0A0A"/>
        <bgColor rgb="FF0A0A0A"/>
      </patternFill>
    </fill>
    <fill>
      <patternFill patternType="solid">
        <fgColor rgb="FFFFFF00"/>
        <bgColor rgb="FFFFFF00"/>
      </patternFill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  <fill>
      <patternFill patternType="solid">
        <fgColor rgb="FF2D2D2D"/>
        <bgColor rgb="FF2D2D2D"/>
      </patternFill>
    </fill>
    <fill>
      <patternFill patternType="solid">
        <fgColor rgb="FF1A1A1A"/>
        <bgColor rgb="FF1A1A1A"/>
      </patternFill>
    </fill>
  </fills>
  <borders count="16">
    <border/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E0E0E0"/>
      </left>
      <top style="thin">
        <color rgb="FFE0E0E0"/>
      </top>
      <bottom style="thin">
        <color rgb="FFE0E0E0"/>
      </bottom>
    </border>
    <border>
      <top style="thin">
        <color rgb="FFE0E0E0"/>
      </top>
      <bottom style="thin">
        <color rgb="FFE0E0E0"/>
      </bottom>
    </border>
    <border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2D2D2D"/>
      </left>
      <right style="thin">
        <color rgb="FF2D2D2D"/>
      </right>
      <top style="thin">
        <color rgb="FF2D2D2D"/>
      </top>
      <bottom style="thin">
        <color rgb="FF2D2D2D"/>
      </bottom>
    </border>
    <border>
      <left style="thin">
        <color rgb="FF1A1A1A"/>
      </left>
      <top style="thin">
        <color rgb="FF1A1A1A"/>
      </top>
      <bottom style="thin">
        <color rgb="FF1A1A1A"/>
      </bottom>
    </border>
    <border>
      <top style="thin">
        <color rgb="FF1A1A1A"/>
      </top>
      <bottom style="thin">
        <color rgb="FF1A1A1A"/>
      </bottom>
    </border>
    <border>
      <right style="thin">
        <color rgb="FF1A1A1A"/>
      </right>
      <top style="thin">
        <color rgb="FF1A1A1A"/>
      </top>
      <bottom style="thin">
        <color rgb="FF1A1A1A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horizontal="left" shrinkToFit="0" vertical="center" wrapText="0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horizontal="left" shrinkToFit="0" vertical="center" wrapText="0"/>
    </xf>
    <xf borderId="1" fillId="2" fontId="5" numFmtId="0" xfId="0" applyAlignment="1" applyBorder="1" applyFont="1">
      <alignment horizontal="left" shrinkToFit="0" vertical="center" wrapText="0"/>
    </xf>
    <xf borderId="1" fillId="2" fontId="6" numFmtId="0" xfId="0" applyAlignment="1" applyBorder="1" applyFont="1">
      <alignment horizontal="left" shrinkToFit="0" vertical="center" wrapText="1"/>
    </xf>
    <xf borderId="1" fillId="3" fontId="7" numFmtId="0" xfId="0" applyAlignment="1" applyBorder="1" applyFill="1" applyFont="1">
      <alignment horizontal="left" shrinkToFit="0" vertical="center" wrapText="0"/>
    </xf>
    <xf borderId="1" fillId="4" fontId="8" numFmtId="0" xfId="0" applyAlignment="1" applyBorder="1" applyFill="1" applyFont="1">
      <alignment horizontal="left" shrinkToFit="0" vertical="center" wrapText="0"/>
    </xf>
    <xf borderId="1" fillId="5" fontId="9" numFmtId="0" xfId="0" applyAlignment="1" applyBorder="1" applyFill="1" applyFont="1">
      <alignment horizontal="left" shrinkToFit="0" vertical="center" wrapText="0"/>
    </xf>
    <xf borderId="5" fillId="2" fontId="10" numFmtId="0" xfId="0" applyAlignment="1" applyBorder="1" applyFont="1">
      <alignment horizontal="left" shrinkToFit="0" vertical="center" wrapText="0"/>
    </xf>
    <xf borderId="6" fillId="0" fontId="3" numFmtId="0" xfId="0" applyBorder="1" applyFont="1"/>
    <xf borderId="7" fillId="0" fontId="3" numFmtId="0" xfId="0" applyBorder="1" applyFont="1"/>
    <xf borderId="8" fillId="0" fontId="11" numFmtId="0" xfId="0" applyAlignment="1" applyBorder="1" applyFont="1">
      <alignment horizontal="left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6" fontId="12" numFmtId="0" xfId="0" applyAlignment="1" applyBorder="1" applyFill="1" applyFont="1">
      <alignment horizontal="center" shrinkToFit="0" vertical="center" wrapText="0"/>
    </xf>
    <xf borderId="12" fillId="7" fontId="13" numFmtId="0" xfId="0" applyAlignment="1" applyBorder="1" applyFill="1" applyFont="1">
      <alignment horizontal="left" shrinkToFit="0" vertical="center" wrapText="0"/>
    </xf>
    <xf borderId="13" fillId="0" fontId="3" numFmtId="0" xfId="0" applyBorder="1" applyFont="1"/>
    <xf borderId="14" fillId="0" fontId="3" numFmtId="0" xfId="0" applyBorder="1" applyFont="1"/>
    <xf borderId="15" fillId="0" fontId="14" numFmtId="0" xfId="0" applyAlignment="1" applyBorder="1" applyFont="1">
      <alignment horizontal="left" shrinkToFit="0" vertical="center" wrapText="0"/>
    </xf>
    <xf borderId="15" fillId="3" fontId="15" numFmtId="4" xfId="0" applyAlignment="1" applyBorder="1" applyFont="1" applyNumberFormat="1">
      <alignment horizontal="right" shrinkToFit="0" vertical="center" wrapText="0"/>
    </xf>
    <xf borderId="15" fillId="0" fontId="11" numFmtId="0" xfId="0" applyAlignment="1" applyBorder="1" applyFont="1">
      <alignment horizontal="left" shrinkToFit="0" vertical="center" wrapText="1"/>
    </xf>
    <xf borderId="15" fillId="0" fontId="16" numFmtId="0" xfId="0" applyAlignment="1" applyBorder="1" applyFont="1">
      <alignment horizontal="left" shrinkToFit="0" vertical="center" wrapText="0"/>
    </xf>
    <xf borderId="15" fillId="4" fontId="17" numFmtId="4" xfId="0" applyAlignment="1" applyBorder="1" applyFont="1" applyNumberFormat="1">
      <alignment horizontal="right" shrinkToFit="0" vertical="center" wrapText="0"/>
    </xf>
    <xf borderId="15" fillId="4" fontId="17" numFmtId="164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A0A0A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9.86"/>
    <col customWidth="1" min="3" max="3" width="3.0"/>
    <col customWidth="1" min="4" max="26" width="8.71"/>
  </cols>
  <sheetData>
    <row r="1">
      <c r="A1" s="1"/>
      <c r="B1" s="1"/>
      <c r="C1" s="1"/>
    </row>
    <row r="2">
      <c r="A2" s="1"/>
      <c r="B2" s="1"/>
      <c r="C2" s="1"/>
    </row>
    <row r="3">
      <c r="A3" s="1"/>
      <c r="B3" s="2" t="s">
        <v>0</v>
      </c>
      <c r="C3" s="1"/>
    </row>
    <row r="4">
      <c r="A4" s="1"/>
      <c r="B4" s="3"/>
      <c r="C4" s="1"/>
    </row>
    <row r="5">
      <c r="A5" s="1"/>
      <c r="B5" s="4"/>
      <c r="C5" s="1"/>
    </row>
    <row r="6">
      <c r="A6" s="1"/>
      <c r="B6" s="5" t="s">
        <v>1</v>
      </c>
      <c r="C6" s="1"/>
    </row>
    <row r="7">
      <c r="A7" s="1"/>
      <c r="B7" s="6" t="s">
        <v>2</v>
      </c>
      <c r="C7" s="1"/>
    </row>
    <row r="8">
      <c r="A8" s="1"/>
      <c r="B8" s="1"/>
      <c r="C8" s="1"/>
    </row>
    <row r="9">
      <c r="A9" s="1"/>
      <c r="B9" s="1"/>
      <c r="C9" s="1"/>
    </row>
    <row r="10">
      <c r="A10" s="1"/>
      <c r="B10" s="7" t="s">
        <v>3</v>
      </c>
      <c r="C10" s="1"/>
    </row>
    <row r="11">
      <c r="A11" s="1"/>
      <c r="B11" s="7" t="s">
        <v>4</v>
      </c>
      <c r="C11" s="1"/>
    </row>
    <row r="12">
      <c r="A12" s="1"/>
      <c r="B12" s="7" t="s">
        <v>5</v>
      </c>
      <c r="C12" s="1"/>
    </row>
    <row r="13">
      <c r="A13" s="1"/>
      <c r="B13" s="7" t="s">
        <v>6</v>
      </c>
      <c r="C13" s="1"/>
    </row>
    <row r="14">
      <c r="A14" s="1"/>
      <c r="B14" s="7" t="s">
        <v>7</v>
      </c>
      <c r="C14" s="1"/>
    </row>
    <row r="15">
      <c r="A15" s="1"/>
      <c r="B15" s="1"/>
      <c r="C15" s="1"/>
    </row>
    <row r="16">
      <c r="A16" s="1"/>
      <c r="B16" s="8" t="s">
        <v>8</v>
      </c>
      <c r="C16" s="1"/>
    </row>
    <row r="17">
      <c r="A17" s="1"/>
      <c r="B17" s="9" t="s">
        <v>9</v>
      </c>
      <c r="C17" s="1"/>
    </row>
    <row r="18">
      <c r="A18" s="1"/>
      <c r="B18" s="10" t="s">
        <v>10</v>
      </c>
      <c r="C18" s="1"/>
    </row>
    <row r="19">
      <c r="A19" s="1"/>
      <c r="B19" s="1"/>
      <c r="C19" s="1"/>
    </row>
    <row r="20">
      <c r="A20" s="1"/>
      <c r="B20" s="1"/>
      <c r="C20" s="1"/>
    </row>
    <row r="21">
      <c r="A21" s="1"/>
      <c r="B21" s="1"/>
      <c r="C21" s="1"/>
    </row>
    <row r="22">
      <c r="A22" s="1"/>
      <c r="B22" s="1"/>
      <c r="C22" s="1"/>
    </row>
    <row r="23">
      <c r="A23" s="1"/>
      <c r="B23" s="1"/>
      <c r="C23" s="1"/>
    </row>
  </sheetData>
  <mergeCells count="1">
    <mergeCell ref="B3:B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6B3C"/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3.0"/>
    <col customWidth="1" min="2" max="2" width="42.14"/>
    <col customWidth="1" min="3" max="3" width="10.14"/>
    <col customWidth="1" min="4" max="9" width="5.43"/>
    <col customWidth="1" min="10" max="10" width="9.57"/>
    <col customWidth="1" min="11" max="11" width="45.57"/>
    <col customWidth="1" min="12" max="26" width="8.71"/>
  </cols>
  <sheetData>
    <row r="1" ht="30.0" customHeight="1">
      <c r="A1" s="1"/>
      <c r="B1" s="11" t="s">
        <v>11</v>
      </c>
      <c r="C1" s="12"/>
      <c r="D1" s="12"/>
      <c r="E1" s="12"/>
      <c r="F1" s="12"/>
      <c r="G1" s="12"/>
      <c r="H1" s="12"/>
      <c r="I1" s="12"/>
      <c r="J1" s="13"/>
      <c r="K1" s="1"/>
    </row>
    <row r="2" ht="27.75" customHeight="1">
      <c r="B2" s="14" t="s">
        <v>12</v>
      </c>
      <c r="C2" s="15"/>
      <c r="D2" s="15"/>
      <c r="E2" s="15"/>
      <c r="F2" s="15"/>
      <c r="G2" s="15"/>
      <c r="H2" s="15"/>
      <c r="I2" s="15"/>
      <c r="J2" s="16"/>
    </row>
    <row r="3" ht="21.75" customHeight="1">
      <c r="B3" s="17" t="s">
        <v>13</v>
      </c>
      <c r="C3" s="17" t="s">
        <v>14</v>
      </c>
      <c r="D3" s="17" t="s">
        <v>15</v>
      </c>
      <c r="E3" s="17" t="s">
        <v>16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</row>
    <row r="4" ht="19.5" customHeight="1">
      <c r="B4" s="18" t="s">
        <v>22</v>
      </c>
      <c r="C4" s="19"/>
      <c r="D4" s="19"/>
      <c r="E4" s="19"/>
      <c r="F4" s="19"/>
      <c r="G4" s="19"/>
      <c r="H4" s="19"/>
      <c r="I4" s="19"/>
      <c r="J4" s="20"/>
    </row>
    <row r="5" ht="21.75" customHeight="1">
      <c r="B5" s="21" t="s">
        <v>23</v>
      </c>
      <c r="C5" s="22">
        <v>0.0</v>
      </c>
      <c r="D5" s="22">
        <v>0.0</v>
      </c>
      <c r="E5" s="22">
        <v>0.0</v>
      </c>
      <c r="F5" s="22">
        <v>0.0</v>
      </c>
      <c r="G5" s="22">
        <v>0.0</v>
      </c>
      <c r="H5" s="22">
        <v>0.0</v>
      </c>
      <c r="I5" s="22">
        <v>0.0</v>
      </c>
      <c r="J5" s="22">
        <v>0.0</v>
      </c>
      <c r="K5" s="23" t="s">
        <v>24</v>
      </c>
    </row>
    <row r="6" ht="21.75" customHeight="1">
      <c r="B6" s="21" t="s">
        <v>25</v>
      </c>
      <c r="C6" s="22">
        <v>0.0</v>
      </c>
      <c r="D6" s="22">
        <v>0.0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2">
        <v>0.0</v>
      </c>
      <c r="K6" s="23" t="s">
        <v>26</v>
      </c>
    </row>
    <row r="7" ht="21.75" customHeight="1">
      <c r="B7" s="21" t="s">
        <v>27</v>
      </c>
      <c r="C7" s="22">
        <v>0.0</v>
      </c>
      <c r="D7" s="22">
        <v>0.0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3" t="s">
        <v>28</v>
      </c>
    </row>
    <row r="8" ht="21.75" customHeight="1">
      <c r="B8" s="24" t="s">
        <v>29</v>
      </c>
      <c r="C8" s="25">
        <f t="shared" ref="C8:J8" si="1">SUM(C5:C7)</f>
        <v>0</v>
      </c>
      <c r="D8" s="25">
        <f t="shared" si="1"/>
        <v>0</v>
      </c>
      <c r="E8" s="25">
        <f t="shared" si="1"/>
        <v>0</v>
      </c>
      <c r="F8" s="25">
        <f t="shared" si="1"/>
        <v>0</v>
      </c>
      <c r="G8" s="25">
        <f t="shared" si="1"/>
        <v>0</v>
      </c>
      <c r="H8" s="25">
        <f t="shared" si="1"/>
        <v>0</v>
      </c>
      <c r="I8" s="25">
        <f t="shared" si="1"/>
        <v>0</v>
      </c>
      <c r="J8" s="25">
        <f t="shared" si="1"/>
        <v>0</v>
      </c>
    </row>
    <row r="9" ht="19.5" customHeight="1">
      <c r="B9" s="18" t="s">
        <v>30</v>
      </c>
      <c r="C9" s="19"/>
      <c r="D9" s="19"/>
      <c r="E9" s="19"/>
      <c r="F9" s="19"/>
      <c r="G9" s="19"/>
      <c r="H9" s="19"/>
      <c r="I9" s="19"/>
      <c r="J9" s="20"/>
    </row>
    <row r="10" ht="21.75" customHeight="1">
      <c r="B10" s="21" t="s">
        <v>31</v>
      </c>
      <c r="C10" s="22">
        <v>0.0</v>
      </c>
      <c r="D10" s="22">
        <v>0.0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2">
        <v>0.0</v>
      </c>
      <c r="K10" s="23" t="s">
        <v>32</v>
      </c>
    </row>
    <row r="11" ht="21.75" customHeight="1">
      <c r="B11" s="21" t="s">
        <v>33</v>
      </c>
      <c r="C11" s="22">
        <v>0.0</v>
      </c>
      <c r="D11" s="22">
        <v>0.0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2">
        <v>0.0</v>
      </c>
      <c r="K11" s="23" t="s">
        <v>34</v>
      </c>
    </row>
    <row r="12" ht="21.75" customHeight="1">
      <c r="B12" s="21" t="s">
        <v>35</v>
      </c>
      <c r="C12" s="22">
        <v>0.0</v>
      </c>
      <c r="D12" s="22">
        <v>0.0</v>
      </c>
      <c r="E12" s="22">
        <v>0.0</v>
      </c>
      <c r="F12" s="22">
        <v>0.0</v>
      </c>
      <c r="G12" s="22">
        <v>0.0</v>
      </c>
      <c r="H12" s="22">
        <v>0.0</v>
      </c>
      <c r="I12" s="22">
        <v>0.0</v>
      </c>
      <c r="J12" s="22">
        <v>0.0</v>
      </c>
      <c r="K12" s="23" t="s">
        <v>36</v>
      </c>
    </row>
    <row r="13" ht="21.75" customHeight="1">
      <c r="B13" s="24" t="s">
        <v>37</v>
      </c>
      <c r="C13" s="25">
        <f t="shared" ref="C13:J13" si="2">SUM(C10:C12)</f>
        <v>0</v>
      </c>
      <c r="D13" s="25">
        <f t="shared" si="2"/>
        <v>0</v>
      </c>
      <c r="E13" s="25">
        <f t="shared" si="2"/>
        <v>0</v>
      </c>
      <c r="F13" s="25">
        <f t="shared" si="2"/>
        <v>0</v>
      </c>
      <c r="G13" s="25">
        <f t="shared" si="2"/>
        <v>0</v>
      </c>
      <c r="H13" s="25">
        <f t="shared" si="2"/>
        <v>0</v>
      </c>
      <c r="I13" s="25">
        <f t="shared" si="2"/>
        <v>0</v>
      </c>
      <c r="J13" s="25">
        <f t="shared" si="2"/>
        <v>0</v>
      </c>
    </row>
    <row r="14" ht="21.75" customHeight="1">
      <c r="B14" s="24" t="s">
        <v>38</v>
      </c>
      <c r="C14" s="25">
        <f t="shared" ref="C14:J14" si="3">IFERROR(C8-C13,0)</f>
        <v>0</v>
      </c>
      <c r="D14" s="25">
        <f t="shared" si="3"/>
        <v>0</v>
      </c>
      <c r="E14" s="25">
        <f t="shared" si="3"/>
        <v>0</v>
      </c>
      <c r="F14" s="25">
        <f t="shared" si="3"/>
        <v>0</v>
      </c>
      <c r="G14" s="25">
        <f t="shared" si="3"/>
        <v>0</v>
      </c>
      <c r="H14" s="25">
        <f t="shared" si="3"/>
        <v>0</v>
      </c>
      <c r="I14" s="25">
        <f t="shared" si="3"/>
        <v>0</v>
      </c>
      <c r="J14" s="25">
        <f t="shared" si="3"/>
        <v>0</v>
      </c>
    </row>
    <row r="15" ht="21.75" customHeight="1">
      <c r="B15" s="24" t="s">
        <v>39</v>
      </c>
      <c r="C15" s="26">
        <f t="shared" ref="C15:J15" si="4">IFERROR(C14/C8,0)</f>
        <v>0</v>
      </c>
      <c r="D15" s="26">
        <f t="shared" si="4"/>
        <v>0</v>
      </c>
      <c r="E15" s="26">
        <f t="shared" si="4"/>
        <v>0</v>
      </c>
      <c r="F15" s="26">
        <f t="shared" si="4"/>
        <v>0</v>
      </c>
      <c r="G15" s="26">
        <f t="shared" si="4"/>
        <v>0</v>
      </c>
      <c r="H15" s="26">
        <f t="shared" si="4"/>
        <v>0</v>
      </c>
      <c r="I15" s="26">
        <f t="shared" si="4"/>
        <v>0</v>
      </c>
      <c r="J15" s="26">
        <f t="shared" si="4"/>
        <v>0</v>
      </c>
    </row>
    <row r="16" ht="19.5" customHeight="1">
      <c r="B16" s="18" t="s">
        <v>40</v>
      </c>
      <c r="C16" s="19"/>
      <c r="D16" s="19"/>
      <c r="E16" s="19"/>
      <c r="F16" s="19"/>
      <c r="G16" s="19"/>
      <c r="H16" s="19"/>
      <c r="I16" s="19"/>
      <c r="J16" s="20"/>
    </row>
    <row r="17" ht="21.75" customHeight="1">
      <c r="B17" s="21" t="s">
        <v>41</v>
      </c>
      <c r="C17" s="22">
        <v>0.0</v>
      </c>
      <c r="D17" s="22">
        <v>0.0</v>
      </c>
      <c r="E17" s="22">
        <v>0.0</v>
      </c>
      <c r="F17" s="22">
        <v>0.0</v>
      </c>
      <c r="G17" s="22">
        <v>0.0</v>
      </c>
      <c r="H17" s="22">
        <v>0.0</v>
      </c>
      <c r="I17" s="22">
        <v>0.0</v>
      </c>
      <c r="J17" s="22">
        <v>0.0</v>
      </c>
      <c r="K17" s="23" t="s">
        <v>42</v>
      </c>
    </row>
    <row r="18" ht="21.75" customHeight="1">
      <c r="B18" s="21" t="s">
        <v>43</v>
      </c>
      <c r="C18" s="22">
        <v>0.0</v>
      </c>
      <c r="D18" s="22">
        <v>0.0</v>
      </c>
      <c r="E18" s="22">
        <v>0.0</v>
      </c>
      <c r="F18" s="22">
        <v>0.0</v>
      </c>
      <c r="G18" s="22">
        <v>0.0</v>
      </c>
      <c r="H18" s="22">
        <v>0.0</v>
      </c>
      <c r="I18" s="22">
        <v>0.0</v>
      </c>
      <c r="J18" s="22">
        <v>0.0</v>
      </c>
      <c r="K18" s="23" t="s">
        <v>44</v>
      </c>
    </row>
    <row r="19" ht="21.75" customHeight="1">
      <c r="B19" s="21" t="s">
        <v>45</v>
      </c>
      <c r="C19" s="22">
        <v>0.0</v>
      </c>
      <c r="D19" s="22">
        <v>0.0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3" t="s">
        <v>46</v>
      </c>
    </row>
    <row r="20" ht="21.75" customHeight="1">
      <c r="B20" s="24" t="s">
        <v>47</v>
      </c>
      <c r="C20" s="25">
        <f t="shared" ref="C20:J20" si="5">SUM(C17:C19)</f>
        <v>0</v>
      </c>
      <c r="D20" s="25">
        <f t="shared" si="5"/>
        <v>0</v>
      </c>
      <c r="E20" s="25">
        <f t="shared" si="5"/>
        <v>0</v>
      </c>
      <c r="F20" s="25">
        <f t="shared" si="5"/>
        <v>0</v>
      </c>
      <c r="G20" s="25">
        <f t="shared" si="5"/>
        <v>0</v>
      </c>
      <c r="H20" s="25">
        <f t="shared" si="5"/>
        <v>0</v>
      </c>
      <c r="I20" s="25">
        <f t="shared" si="5"/>
        <v>0</v>
      </c>
      <c r="J20" s="25">
        <f t="shared" si="5"/>
        <v>0</v>
      </c>
    </row>
    <row r="21" ht="21.75" customHeight="1">
      <c r="B21" s="24" t="s">
        <v>48</v>
      </c>
      <c r="C21" s="25">
        <f t="shared" ref="C21:J21" si="6">IFERROR(C14-C20,0)</f>
        <v>0</v>
      </c>
      <c r="D21" s="25">
        <f t="shared" si="6"/>
        <v>0</v>
      </c>
      <c r="E21" s="25">
        <f t="shared" si="6"/>
        <v>0</v>
      </c>
      <c r="F21" s="25">
        <f t="shared" si="6"/>
        <v>0</v>
      </c>
      <c r="G21" s="25">
        <f t="shared" si="6"/>
        <v>0</v>
      </c>
      <c r="H21" s="25">
        <f t="shared" si="6"/>
        <v>0</v>
      </c>
      <c r="I21" s="25">
        <f t="shared" si="6"/>
        <v>0</v>
      </c>
      <c r="J21" s="25">
        <f t="shared" si="6"/>
        <v>0</v>
      </c>
    </row>
    <row r="22" ht="21.75" customHeight="1">
      <c r="B22" s="24" t="s">
        <v>49</v>
      </c>
      <c r="C22" s="26">
        <f t="shared" ref="C22:J22" si="7">IFERROR(C21/C8,0)</f>
        <v>0</v>
      </c>
      <c r="D22" s="26">
        <f t="shared" si="7"/>
        <v>0</v>
      </c>
      <c r="E22" s="26">
        <f t="shared" si="7"/>
        <v>0</v>
      </c>
      <c r="F22" s="26">
        <f t="shared" si="7"/>
        <v>0</v>
      </c>
      <c r="G22" s="26">
        <f t="shared" si="7"/>
        <v>0</v>
      </c>
      <c r="H22" s="26">
        <f t="shared" si="7"/>
        <v>0</v>
      </c>
      <c r="I22" s="26">
        <f t="shared" si="7"/>
        <v>0</v>
      </c>
      <c r="J22" s="26">
        <f t="shared" si="7"/>
        <v>0</v>
      </c>
    </row>
    <row r="23" ht="19.5" customHeight="1">
      <c r="B23" s="18" t="s">
        <v>50</v>
      </c>
      <c r="C23" s="19"/>
      <c r="D23" s="19"/>
      <c r="E23" s="19"/>
      <c r="F23" s="19"/>
      <c r="G23" s="19"/>
      <c r="H23" s="19"/>
      <c r="I23" s="19"/>
      <c r="J23" s="20"/>
    </row>
    <row r="24" ht="21.75" customHeight="1">
      <c r="B24" s="21" t="s">
        <v>51</v>
      </c>
      <c r="C24" s="22">
        <v>0.0</v>
      </c>
      <c r="D24" s="22">
        <v>0.0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2">
        <v>0.0</v>
      </c>
      <c r="K24" s="23" t="s">
        <v>52</v>
      </c>
    </row>
    <row r="25" ht="21.75" customHeight="1">
      <c r="B25" s="21" t="s">
        <v>53</v>
      </c>
      <c r="C25" s="22">
        <v>0.0</v>
      </c>
      <c r="D25" s="22">
        <v>0.0</v>
      </c>
      <c r="E25" s="22">
        <v>0.0</v>
      </c>
      <c r="F25" s="22">
        <v>0.0</v>
      </c>
      <c r="G25" s="22">
        <v>0.0</v>
      </c>
      <c r="H25" s="22">
        <v>0.0</v>
      </c>
      <c r="I25" s="22">
        <v>0.0</v>
      </c>
      <c r="J25" s="22">
        <v>0.0</v>
      </c>
      <c r="K25" s="23" t="s">
        <v>54</v>
      </c>
    </row>
    <row r="26" ht="21.75" customHeight="1">
      <c r="B26" s="24" t="s">
        <v>55</v>
      </c>
      <c r="C26" s="25">
        <f t="shared" ref="C26:J26" si="8">IFERROR(C24+C25,0)</f>
        <v>0</v>
      </c>
      <c r="D26" s="25">
        <f t="shared" si="8"/>
        <v>0</v>
      </c>
      <c r="E26" s="25">
        <f t="shared" si="8"/>
        <v>0</v>
      </c>
      <c r="F26" s="25">
        <f t="shared" si="8"/>
        <v>0</v>
      </c>
      <c r="G26" s="25">
        <f t="shared" si="8"/>
        <v>0</v>
      </c>
      <c r="H26" s="25">
        <f t="shared" si="8"/>
        <v>0</v>
      </c>
      <c r="I26" s="25">
        <f t="shared" si="8"/>
        <v>0</v>
      </c>
      <c r="J26" s="25">
        <f t="shared" si="8"/>
        <v>0</v>
      </c>
    </row>
    <row r="27" ht="21.75" customHeight="1">
      <c r="B27" s="24" t="s">
        <v>56</v>
      </c>
      <c r="C27" s="25">
        <f t="shared" ref="C27:J27" si="9">IFERROR(C21-C26,0)</f>
        <v>0</v>
      </c>
      <c r="D27" s="25">
        <f t="shared" si="9"/>
        <v>0</v>
      </c>
      <c r="E27" s="25">
        <f t="shared" si="9"/>
        <v>0</v>
      </c>
      <c r="F27" s="25">
        <f t="shared" si="9"/>
        <v>0</v>
      </c>
      <c r="G27" s="25">
        <f t="shared" si="9"/>
        <v>0</v>
      </c>
      <c r="H27" s="25">
        <f t="shared" si="9"/>
        <v>0</v>
      </c>
      <c r="I27" s="25">
        <f t="shared" si="9"/>
        <v>0</v>
      </c>
      <c r="J27" s="25">
        <f t="shared" si="9"/>
        <v>0</v>
      </c>
    </row>
    <row r="28" ht="21.75" customHeight="1">
      <c r="B28" s="24" t="s">
        <v>57</v>
      </c>
      <c r="C28" s="26">
        <f t="shared" ref="C28:J28" si="10">IFERROR(C27/C8,0)</f>
        <v>0</v>
      </c>
      <c r="D28" s="26">
        <f t="shared" si="10"/>
        <v>0</v>
      </c>
      <c r="E28" s="26">
        <f t="shared" si="10"/>
        <v>0</v>
      </c>
      <c r="F28" s="26">
        <f t="shared" si="10"/>
        <v>0</v>
      </c>
      <c r="G28" s="26">
        <f t="shared" si="10"/>
        <v>0</v>
      </c>
      <c r="H28" s="26">
        <f t="shared" si="10"/>
        <v>0</v>
      </c>
      <c r="I28" s="26">
        <f t="shared" si="10"/>
        <v>0</v>
      </c>
      <c r="J28" s="26">
        <f t="shared" si="10"/>
        <v>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J1"/>
    <mergeCell ref="B2:J2"/>
    <mergeCell ref="B4:J4"/>
    <mergeCell ref="B9:J9"/>
    <mergeCell ref="B16:J16"/>
    <mergeCell ref="B23:J2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5200"/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3.0"/>
    <col customWidth="1" min="2" max="2" width="42.29"/>
    <col customWidth="1" min="3" max="3" width="10.14"/>
    <col customWidth="1" min="4" max="9" width="5.43"/>
    <col customWidth="1" min="10" max="10" width="9.57"/>
    <col customWidth="1" min="11" max="11" width="22.14"/>
    <col customWidth="1" min="12" max="26" width="8.71"/>
  </cols>
  <sheetData>
    <row r="1">
      <c r="A1" s="1"/>
      <c r="B1" s="11" t="s">
        <v>58</v>
      </c>
      <c r="C1" s="12"/>
      <c r="D1" s="12"/>
      <c r="E1" s="12"/>
      <c r="F1" s="12"/>
      <c r="G1" s="12"/>
      <c r="H1" s="12"/>
      <c r="I1" s="12"/>
      <c r="J1" s="13"/>
      <c r="K1" s="1"/>
    </row>
    <row r="2">
      <c r="B2" s="14" t="s">
        <v>59</v>
      </c>
      <c r="C2" s="15"/>
      <c r="D2" s="15"/>
      <c r="E2" s="15"/>
      <c r="F2" s="15"/>
      <c r="G2" s="15"/>
      <c r="H2" s="15"/>
      <c r="I2" s="15"/>
      <c r="J2" s="16"/>
    </row>
    <row r="3">
      <c r="B3" s="17" t="s">
        <v>13</v>
      </c>
      <c r="C3" s="17" t="s">
        <v>14</v>
      </c>
      <c r="D3" s="17" t="s">
        <v>15</v>
      </c>
      <c r="E3" s="17" t="s">
        <v>16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</row>
    <row r="4">
      <c r="B4" s="21" t="s">
        <v>60</v>
      </c>
      <c r="C4" s="22">
        <v>0.0</v>
      </c>
      <c r="D4" s="22">
        <v>0.0</v>
      </c>
      <c r="E4" s="22">
        <v>0.0</v>
      </c>
      <c r="F4" s="22">
        <v>0.0</v>
      </c>
      <c r="G4" s="22">
        <v>0.0</v>
      </c>
      <c r="H4" s="22">
        <v>0.0</v>
      </c>
      <c r="I4" s="22">
        <v>0.0</v>
      </c>
      <c r="J4" s="22">
        <v>0.0</v>
      </c>
      <c r="K4" s="23" t="s">
        <v>61</v>
      </c>
    </row>
    <row r="5">
      <c r="B5" s="21" t="s">
        <v>62</v>
      </c>
      <c r="C5" s="22">
        <v>0.0</v>
      </c>
      <c r="D5" s="22">
        <v>0.0</v>
      </c>
      <c r="E5" s="22">
        <v>0.0</v>
      </c>
      <c r="F5" s="22">
        <v>0.0</v>
      </c>
      <c r="G5" s="22">
        <v>0.0</v>
      </c>
      <c r="H5" s="22">
        <v>0.0</v>
      </c>
      <c r="I5" s="22">
        <v>0.0</v>
      </c>
      <c r="J5" s="22">
        <v>0.0</v>
      </c>
      <c r="K5" s="23" t="s">
        <v>63</v>
      </c>
    </row>
    <row r="6">
      <c r="B6" s="21" t="s">
        <v>64</v>
      </c>
      <c r="C6" s="22">
        <v>0.0</v>
      </c>
      <c r="D6" s="22">
        <v>0.0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2">
        <v>0.0</v>
      </c>
      <c r="K6" s="23" t="s">
        <v>65</v>
      </c>
    </row>
    <row r="7">
      <c r="B7" s="24" t="s">
        <v>66</v>
      </c>
      <c r="C7" s="25">
        <f>IFERROR('P&amp;L Inputs'!C27+C4-C5+C6,0)</f>
        <v>0</v>
      </c>
      <c r="D7" s="25">
        <f>IFERROR('P&amp;L Inputs'!D27+D4-D5+D6,0)</f>
        <v>0</v>
      </c>
      <c r="E7" s="25">
        <f>IFERROR('P&amp;L Inputs'!E27+E4-E5+E6,0)</f>
        <v>0</v>
      </c>
      <c r="F7" s="25">
        <f>IFERROR('P&amp;L Inputs'!F27+F4-F5+F6,0)</f>
        <v>0</v>
      </c>
      <c r="G7" s="25">
        <f>IFERROR('P&amp;L Inputs'!G27+G4-G5+G6,0)</f>
        <v>0</v>
      </c>
      <c r="H7" s="25">
        <f>IFERROR('P&amp;L Inputs'!H27+H4-H5+H6,0)</f>
        <v>0</v>
      </c>
      <c r="I7" s="25">
        <f>IFERROR('P&amp;L Inputs'!I27+I4-I5+I6,0)</f>
        <v>0</v>
      </c>
      <c r="J7" s="25">
        <f>IFERROR('P&amp;L Inputs'!J27+J4-J5+J6,0)</f>
        <v>0</v>
      </c>
    </row>
    <row r="8">
      <c r="B8" s="21" t="s">
        <v>67</v>
      </c>
      <c r="C8" s="22">
        <v>0.0</v>
      </c>
      <c r="D8" s="22">
        <v>0.0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3" t="s">
        <v>68</v>
      </c>
    </row>
    <row r="9">
      <c r="B9" s="21" t="s">
        <v>69</v>
      </c>
      <c r="C9" s="22">
        <v>0.0</v>
      </c>
      <c r="D9" s="22">
        <v>0.0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3" t="s">
        <v>70</v>
      </c>
    </row>
    <row r="10">
      <c r="B10" s="24" t="s">
        <v>71</v>
      </c>
      <c r="C10" s="25">
        <f t="shared" ref="C10:J10" si="1">IFERROR(C7-C8-C9,0)</f>
        <v>0</v>
      </c>
      <c r="D10" s="25">
        <f t="shared" si="1"/>
        <v>0</v>
      </c>
      <c r="E10" s="25">
        <f t="shared" si="1"/>
        <v>0</v>
      </c>
      <c r="F10" s="25">
        <f t="shared" si="1"/>
        <v>0</v>
      </c>
      <c r="G10" s="25">
        <f t="shared" si="1"/>
        <v>0</v>
      </c>
      <c r="H10" s="25">
        <f t="shared" si="1"/>
        <v>0</v>
      </c>
      <c r="I10" s="25">
        <f t="shared" si="1"/>
        <v>0</v>
      </c>
      <c r="J10" s="25">
        <f t="shared" si="1"/>
        <v>0</v>
      </c>
    </row>
    <row r="11">
      <c r="B11" s="24" t="s">
        <v>72</v>
      </c>
      <c r="C11" s="26">
        <f>IFERROR(C10/'P&amp;L Inputs'!C8,0)</f>
        <v>0</v>
      </c>
      <c r="D11" s="26">
        <f>IFERROR(D10/'P&amp;L Inputs'!D8,0)</f>
        <v>0</v>
      </c>
      <c r="E11" s="26">
        <f>IFERROR(E10/'P&amp;L Inputs'!E8,0)</f>
        <v>0</v>
      </c>
      <c r="F11" s="26">
        <f>IFERROR(F10/'P&amp;L Inputs'!F8,0)</f>
        <v>0</v>
      </c>
      <c r="G11" s="26">
        <f>IFERROR(G10/'P&amp;L Inputs'!G8,0)</f>
        <v>0</v>
      </c>
      <c r="H11" s="26">
        <f>IFERROR(H10/'P&amp;L Inputs'!H8,0)</f>
        <v>0</v>
      </c>
      <c r="I11" s="26">
        <f>IFERROR(I10/'P&amp;L Inputs'!I8,0)</f>
        <v>0</v>
      </c>
      <c r="J11" s="26">
        <f>IFERROR(J10/'P&amp;L Inputs'!J8,0)</f>
        <v>0</v>
      </c>
    </row>
    <row r="13">
      <c r="B13" s="21" t="s">
        <v>73</v>
      </c>
      <c r="C13" s="22">
        <v>0.0</v>
      </c>
      <c r="D13" s="22">
        <v>0.0</v>
      </c>
      <c r="E13" s="22">
        <v>0.0</v>
      </c>
      <c r="F13" s="22">
        <v>0.0</v>
      </c>
      <c r="G13" s="22">
        <v>0.0</v>
      </c>
      <c r="H13" s="22">
        <v>0.0</v>
      </c>
      <c r="I13" s="22">
        <v>0.0</v>
      </c>
      <c r="J13" s="22">
        <v>0.0</v>
      </c>
      <c r="K13" s="23" t="s">
        <v>74</v>
      </c>
    </row>
    <row r="14">
      <c r="B14" s="24" t="s">
        <v>75</v>
      </c>
      <c r="C14" s="25">
        <f t="shared" ref="C14:J14" si="2">IFERROR(C10-C13,0)</f>
        <v>0</v>
      </c>
      <c r="D14" s="25">
        <f t="shared" si="2"/>
        <v>0</v>
      </c>
      <c r="E14" s="25">
        <f t="shared" si="2"/>
        <v>0</v>
      </c>
      <c r="F14" s="25">
        <f t="shared" si="2"/>
        <v>0</v>
      </c>
      <c r="G14" s="25">
        <f t="shared" si="2"/>
        <v>0</v>
      </c>
      <c r="H14" s="25">
        <f t="shared" si="2"/>
        <v>0</v>
      </c>
      <c r="I14" s="25">
        <f t="shared" si="2"/>
        <v>0</v>
      </c>
      <c r="J14" s="25">
        <f t="shared" si="2"/>
        <v>0</v>
      </c>
    </row>
    <row r="15">
      <c r="B15" s="24" t="s">
        <v>76</v>
      </c>
      <c r="C15" s="26">
        <f>IFERROR(C14/'P&amp;L Inputs'!C8,0)</f>
        <v>0</v>
      </c>
      <c r="D15" s="26">
        <f>IFERROR(D14/'P&amp;L Inputs'!D8,0)</f>
        <v>0</v>
      </c>
      <c r="E15" s="26">
        <f>IFERROR(E14/'P&amp;L Inputs'!E8,0)</f>
        <v>0</v>
      </c>
      <c r="F15" s="26">
        <f>IFERROR(F14/'P&amp;L Inputs'!F8,0)</f>
        <v>0</v>
      </c>
      <c r="G15" s="26">
        <f>IFERROR(G14/'P&amp;L Inputs'!G8,0)</f>
        <v>0</v>
      </c>
      <c r="H15" s="26">
        <f>IFERROR(H14/'P&amp;L Inputs'!H8,0)</f>
        <v>0</v>
      </c>
      <c r="I15" s="26">
        <f>IFERROR(I14/'P&amp;L Inputs'!I8,0)</f>
        <v>0</v>
      </c>
      <c r="J15" s="26">
        <f>IFERROR(J14/'P&amp;L Inputs'!J8,0)</f>
        <v>0</v>
      </c>
    </row>
  </sheetData>
  <mergeCells count="2">
    <mergeCell ref="B1:J1"/>
    <mergeCell ref="B2:J2"/>
  </mergeCells>
  <printOptions/>
  <pageMargins bottom="1.0" footer="0.0" header="0.0" left="0.75" right="0.75" top="1.0"/>
  <pageSetup paperSize="9" orientation="portrait"/>
  <drawing r:id="rId1"/>
</worksheet>
</file>