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Customer Revenue" sheetId="2" r:id="rId6"/>
    <sheet state="visible" name="Revenue Mix" sheetId="3" r:id="rId7"/>
    <sheet state="visible" name="Cohort Revenue" sheetId="4" r:id="rId8"/>
    <sheet state="visible" name="Context &amp; Additional Inputs" sheetId="5" r:id="rId9"/>
  </sheets>
  <definedNames/>
  <calcPr/>
</workbook>
</file>

<file path=xl/sharedStrings.xml><?xml version="1.0" encoding="utf-8"?>
<sst xmlns="http://schemas.openxmlformats.org/spreadsheetml/2006/main" count="113" uniqueCount="112">
  <si>
    <t>PROFYT</t>
  </si>
  <si>
    <t>Revenue Quality Diagnostic</t>
  </si>
  <si>
    <t>Client Input Template — Tier 2 · Tool 3</t>
  </si>
  <si>
    <t>Step 1  —  Complete all 4 input tabs: Customer Revenue → Revenue Mix → Cohort Revenue → Concentration.</t>
  </si>
  <si>
    <t>Step 2  —  Yellow cells only. All monetary values in ₹ Crore.</t>
  </si>
  <si>
    <t>Step 3  —  For customer-level data, list top 20 customers by revenue contribution.</t>
  </si>
  <si>
    <t>Step 4  —  Cohort data: list each acquisition cohort (month or quarter) with revenue over time.</t>
  </si>
  <si>
    <t>Step 5  —  If any section is not applicable, enter 0 and note why in the context section.</t>
  </si>
  <si>
    <t>Yellow cell — enter your data here</t>
  </si>
  <si>
    <t>Grey cell — auto-calculated, do not edit</t>
  </si>
  <si>
    <t>Green text — linked from another sheet</t>
  </si>
  <si>
    <t>Customer Revenue — Top 20 by Contribution</t>
  </si>
  <si>
    <t>List your top 20 customers by annual revenue contribution. Rename 'Customer N' with real names or anonymised codes.</t>
  </si>
  <si>
    <t>Customer</t>
  </si>
  <si>
    <t>Annual Rev (₹ Cr)</t>
  </si>
  <si>
    <t>Monthly ARR (₹ Cr)</t>
  </si>
  <si>
    <t>Revenue Type</t>
  </si>
  <si>
    <t>Since (month/yr)</t>
  </si>
  <si>
    <t>Contract End</t>
  </si>
  <si>
    <t>Renewal Risk</t>
  </si>
  <si>
    <t>Customer 01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</si>
  <si>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</si>
  <si>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</si>
  <si>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</si>
  <si>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</si>
  <si>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</si>
  <si>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</si>
  <si>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</si>
  <si>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</si>
  <si>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</si>
  <si>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</si>
  <si>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</si>
  <si>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</si>
  <si>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</si>
  <si>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</si>
  <si>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</si>
  <si>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</si>
  <si>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</si>
  <si>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</si>
  <si>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</si>
  <si>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TOTAL TOP 20</t>
  </si>
  <si>
    <t>Total Company ARR / Annual Revenue (₹ Cr)</t>
  </si>
  <si>
    <t>Top 20 as % of Total Revenue</t>
  </si>
  <si>
    <t>CONCENTRATION METRICS  (auto)</t>
  </si>
  <si>
    <t>Metric</t>
  </si>
  <si>
    <t>Value</t>
  </si>
  <si>
    <t>Benchmark</t>
  </si>
  <si>
    <t xml:space="preserve">  Top 1 Customer % of Total Rev</t>
  </si>
  <si>
    <t>Best practice: &lt;15%</t>
  </si>
  <si>
    <t xml:space="preserve">  Top 3 Customers % of Total Rev</t>
  </si>
  <si>
    <t>Best practice: &lt;30%</t>
  </si>
  <si>
    <t xml:space="preserve">  Top 5 Customers % of Total Rev</t>
  </si>
  <si>
    <t>Best practice: &lt;40%</t>
  </si>
  <si>
    <t xml:space="preserve">  Top 10 Customers % of Total Rev</t>
  </si>
  <si>
    <t>Best practice: &lt;55%</t>
  </si>
  <si>
    <t xml:space="preserve">  Customers with High Renewal Risk</t>
  </si>
  <si>
    <t>Should be 0</t>
  </si>
  <si>
    <t xml:space="preserve">  Revenue at High Renewal Risk (₹ Cr)</t>
  </si>
  <si>
    <t>Should be &lt;5% of ARR</t>
  </si>
  <si>
    <t>Revenue Mix — Recurring vs Transactional (6 Months)</t>
  </si>
  <si>
    <t>Break total monthly revenue into recurring and non-recurring components for each of the last 6 months.</t>
  </si>
  <si>
    <t>Revenue Stream</t>
  </si>
  <si>
    <t>Mo 1 (₹ Cr)</t>
  </si>
  <si>
    <t>Mo 2</t>
  </si>
  <si>
    <t>Mo 3</t>
  </si>
  <si>
    <t>Mo 4</t>
  </si>
  <si>
    <t>Mo 5</t>
  </si>
  <si>
    <t xml:space="preserve">  Recurring — Subscription / SaaS ARR</t>
  </si>
  <si>
    <t xml:space="preserve">  Recurring — Retainer Fees</t>
  </si>
  <si>
    <t xml:space="preserve">  Recurring — Usage-Based (predictable)</t>
  </si>
  <si>
    <t xml:space="preserve">  Transactional — Project Revenue</t>
  </si>
  <si>
    <t xml:space="preserve">  Transactional — Product Sales</t>
  </si>
  <si>
    <t xml:space="preserve">  Transactional — Ad Hoc / Variable</t>
  </si>
  <si>
    <t xml:space="preserve">  Other Revenue</t>
  </si>
  <si>
    <t>TOTAL REVENUE</t>
  </si>
  <si>
    <t>MIX ANALYSIS  (auto)</t>
  </si>
  <si>
    <t>Mo 1</t>
  </si>
  <si>
    <t>Mo 6 (latest)</t>
  </si>
  <si>
    <t>Trend</t>
  </si>
  <si>
    <t xml:space="preserve">  Recurring Revenue (₹ Cr)</t>
  </si>
  <si>
    <t xml:space="preserve">  Recurring Revenue %</t>
  </si>
  <si>
    <t xml:space="preserve">  MoM Revenue Growth (latest)</t>
  </si>
  <si>
    <t>Cohort Revenue Durability — 8 Cohorts × 8 Periods</t>
  </si>
  <si>
    <t>Each row = one acquisition cohort (quarter or month). Columns = revenue from that cohort in each subsequent period.</t>
  </si>
  <si>
    <t>Cohort</t>
  </si>
  <si>
    <t>Period 0</t>
  </si>
  <si>
    <t>P1</t>
  </si>
  <si>
    <t>P2</t>
  </si>
  <si>
    <t>P3</t>
  </si>
  <si>
    <t>P4</t>
  </si>
  <si>
    <t>P6</t>
  </si>
  <si>
    <t>P8</t>
  </si>
  <si>
    <t>P12</t>
  </si>
  <si>
    <t xml:space="preserve">  Q1 FY–1</t>
  </si>
  <si>
    <t xml:space="preserve">  Q2 FY–1</t>
  </si>
  <si>
    <t xml:space="preserve">  Q3 FY–1</t>
  </si>
  <si>
    <t xml:space="preserve">  Q4 FY–1</t>
  </si>
  <si>
    <t xml:space="preserve">  Q1 Current</t>
  </si>
  <si>
    <t xml:space="preserve">  Q2 Current</t>
  </si>
  <si>
    <t xml:space="preserve">  Q3 Current</t>
  </si>
  <si>
    <t xml:space="preserve">  Q4 Current</t>
  </si>
  <si>
    <t>Average Retention</t>
  </si>
  <si>
    <t>Revenue Quality — Context &amp; Additional Inputs</t>
  </si>
  <si>
    <t>These qualitative inputs are critical for PROFYT's revenue quality assessment. Answer in full sentences.</t>
  </si>
  <si>
    <t xml:space="preserve">  What is your primary growth driver — new logo acquisition, expansion of existing accounts, or both?</t>
  </si>
  <si>
    <t xml:space="preserve">  What is your current logo churn rate (% of customers who cancel per year)?</t>
  </si>
  <si>
    <t xml:space="preserve">  What is your net revenue retention (NRR) — include expansion, contraction, and churn?</t>
  </si>
  <si>
    <t xml:space="preserve">  What % of your pipeline comes from existing customer referrals vs outbound?</t>
  </si>
  <si>
    <t xml:space="preserve">  Describe your top 1 customer. What % of total revenue? How long have they been a customer? What is the renewal risk?</t>
  </si>
  <si>
    <t xml:space="preserve">  Have you lost any customer in the last 12 months with &gt;5% of ARR? If yes, describe the circumstances.</t>
  </si>
  <si>
    <t xml:space="preserve">  What is the average contract length for your recurring revenue customers?</t>
  </si>
  <si>
    <t xml:space="preserve">  What is your ARPU trend over the last 12 months — increasing, flat, or declining? What's driving it?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</si>
</sst>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rgb="FFFFFFFF"/>
      <name val="Arial"/>
    </font>
    <font/>
    <font>
      <sz val="13.0"/>
      <color rgb="FFFFFFFF"/>
      <name val="Arial"/>
    </font>
    <font>
      <i/>
      <sz val="10.0"/>
      <color rgb="FF9A9A9A"/>
      <name val="Arial"/>
    </font>
    <font>
      <sz val="10.0"/>
      <color rgb="FF9A9A9A"/>
      <name val="Arial"/>
    </font>
    <font>
      <sz val="10.0"/>
      <color rgb="FF0000CC"/>
      <name val="Arial"/>
    </font>
    <font>
      <sz val="10.0"/>
      <color rgb="FF0A0A0A"/>
      <name val="Arial"/>
    </font>
    <font>
      <sz val="10.0"/>
      <color rgb="FF006600"/>
      <name val="Arial"/>
    </font>
    <font>
      <b/>
      <sz val="13.0"/>
      <color rgb="FFFFFFFF"/>
      <name val="Arial"/>
    </font>
    <font>
      <i/>
      <sz val="9.0"/>
      <color rgb="FF9A9A9A"/>
      <name val="Arial"/>
    </font>
    <font>
      <b/>
      <sz val="9.0"/>
      <color rgb="FFFFFFFF"/>
      <name val="Arial"/>
    </font>
    <font>
      <sz val="11.0"/>
      <color rgb="FF0000CC"/>
      <name val="Arial"/>
    </font>
    <font>
      <b/>
      <sz val="10.0"/>
      <color rgb="FF2D2D2D"/>
      <name val="Arial"/>
    </font>
    <font>
      <b/>
      <sz val="10.0"/>
      <color rgb="FF0A0A0A"/>
      <name val="Arial"/>
    </font>
    <font>
      <b/>
      <sz val="10.0"/>
      <color rgb="FFFFFFFF"/>
      <name val="Arial"/>
    </font>
    <font>
      <sz val="10.0"/>
      <color rgb="FF2D2D2D"/>
      <name val="Arial"/>
    </font>
    <font>
      <i/>
      <sz val="10.0"/>
      <color rgb="FF2D2D2D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A0A0A"/>
        <bgColor rgb="FF0A0A0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2D2D2D"/>
        <bgColor rgb="FF2D2D2D"/>
      </patternFill>
    </fill>
    <fill>
      <patternFill patternType="solid">
        <fgColor rgb="FF1A1A1A"/>
        <bgColor rgb="FF1A1A1A"/>
      </patternFill>
    </fill>
  </fills>
  <borders count="16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1A1A1A"/>
      </left>
      <top style="thin">
        <color rgb="FF1A1A1A"/>
      </top>
      <bottom style="thin">
        <color rgb="FF1A1A1A"/>
      </bottom>
    </border>
    <border>
      <top style="thin">
        <color rgb="FF1A1A1A"/>
      </top>
      <bottom style="thin">
        <color rgb="FF1A1A1A"/>
      </bottom>
    </border>
    <border>
      <right style="thin">
        <color rgb="FF1A1A1A"/>
      </right>
      <top style="thin">
        <color rgb="FF1A1A1A"/>
      </top>
      <bottom style="thin">
        <color rgb="FF1A1A1A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left" shrinkToFit="0" vertical="center" wrapText="0"/>
    </xf>
    <xf borderId="1" fillId="2" fontId="5" numFmtId="0" xfId="0" applyAlignment="1" applyBorder="1" applyFont="1">
      <alignment horizontal="left" shrinkToFit="0" vertical="center" wrapText="0"/>
    </xf>
    <xf borderId="1" fillId="2" fontId="6" numFmtId="0" xfId="0" applyAlignment="1" applyBorder="1" applyFont="1">
      <alignment horizontal="left" shrinkToFit="0" vertical="center" wrapText="1"/>
    </xf>
    <xf borderId="1" fillId="3" fontId="7" numFmtId="0" xfId="0" applyAlignment="1" applyBorder="1" applyFill="1" applyFont="1">
      <alignment horizontal="left" shrinkToFit="0" vertical="center" wrapText="0"/>
    </xf>
    <xf borderId="1" fillId="4" fontId="8" numFmtId="0" xfId="0" applyAlignment="1" applyBorder="1" applyFill="1" applyFont="1">
      <alignment horizontal="left" shrinkToFit="0" vertical="center" wrapText="0"/>
    </xf>
    <xf borderId="1" fillId="5" fontId="9" numFmtId="0" xfId="0" applyAlignment="1" applyBorder="1" applyFill="1" applyFont="1">
      <alignment horizontal="left" shrinkToFit="0" vertical="center" wrapText="0"/>
    </xf>
    <xf borderId="5" fillId="2" fontId="10" numFmtId="0" xfId="0" applyAlignment="1" applyBorder="1" applyFont="1">
      <alignment horizontal="left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11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6" fontId="12" numFmtId="0" xfId="0" applyAlignment="1" applyBorder="1" applyFill="1" applyFont="1">
      <alignment horizontal="center" shrinkToFit="0" vertical="center" wrapText="0"/>
    </xf>
    <xf borderId="12" fillId="3" fontId="13" numFmtId="0" xfId="0" applyAlignment="1" applyBorder="1" applyFont="1">
      <alignment horizontal="left" shrinkToFit="0" vertical="center" wrapText="0"/>
    </xf>
    <xf borderId="12" fillId="3" fontId="13" numFmtId="4" xfId="0" applyAlignment="1" applyBorder="1" applyFont="1" applyNumberFormat="1">
      <alignment horizontal="right" shrinkToFit="0" vertical="center" wrapText="0"/>
    </xf>
    <xf borderId="12" fillId="0" fontId="14" numFmtId="0" xfId="0" applyAlignment="1" applyBorder="1" applyFont="1">
      <alignment horizontal="left" shrinkToFit="0" vertical="center" wrapText="0"/>
    </xf>
    <xf borderId="12" fillId="4" fontId="15" numFmtId="4" xfId="0" applyAlignment="1" applyBorder="1" applyFont="1" applyNumberFormat="1">
      <alignment horizontal="right" shrinkToFit="0" vertical="center" wrapText="0"/>
    </xf>
    <xf borderId="12" fillId="4" fontId="15" numFmtId="164" xfId="0" applyAlignment="1" applyBorder="1" applyFont="1" applyNumberFormat="1">
      <alignment horizontal="right" shrinkToFit="0" vertical="center" wrapText="0"/>
    </xf>
    <xf borderId="13" fillId="7" fontId="16" numFmtId="0" xfId="0" applyAlignment="1" applyBorder="1" applyFill="1" applyFont="1">
      <alignment horizontal="left" shrinkToFit="0" vertical="center" wrapText="0"/>
    </xf>
    <xf borderId="14" fillId="0" fontId="3" numFmtId="0" xfId="0" applyBorder="1" applyFont="1"/>
    <xf borderId="15" fillId="0" fontId="3" numFmtId="0" xfId="0" applyBorder="1" applyFont="1"/>
    <xf borderId="12" fillId="0" fontId="11" numFmtId="0" xfId="0" applyAlignment="1" applyBorder="1" applyFont="1">
      <alignment horizontal="left" shrinkToFit="0" vertical="center" wrapText="0"/>
    </xf>
    <xf borderId="12" fillId="4" fontId="15" numFmtId="3" xfId="0" applyAlignment="1" applyBorder="1" applyFont="1" applyNumberFormat="1">
      <alignment horizontal="right" shrinkToFit="0" vertical="center" wrapText="0"/>
    </xf>
    <xf borderId="12" fillId="0" fontId="17" numFmtId="0" xfId="0" applyAlignment="1" applyBorder="1" applyFont="1">
      <alignment horizontal="left" shrinkToFit="0" vertical="center" wrapText="0"/>
    </xf>
    <xf borderId="12" fillId="4" fontId="8" numFmtId="4" xfId="0" applyAlignment="1" applyBorder="1" applyFont="1" applyNumberFormat="1">
      <alignment horizontal="right" shrinkToFit="0" vertical="center" wrapText="0"/>
    </xf>
    <xf borderId="12" fillId="4" fontId="8" numFmtId="164" xfId="0" applyAlignment="1" applyBorder="1" applyFont="1" applyNumberFormat="1">
      <alignment horizontal="right" shrinkToFit="0" vertical="center" wrapText="0"/>
    </xf>
    <xf borderId="12" fillId="0" fontId="1" numFmtId="0" xfId="0" applyAlignment="1" applyBorder="1" applyFont="1">
      <alignment shrinkToFit="0" vertical="bottom" wrapText="0"/>
    </xf>
    <xf borderId="12" fillId="4" fontId="1" numFmtId="4" xfId="0" applyAlignment="1" applyBorder="1" applyFont="1" applyNumberFormat="1">
      <alignment shrinkToFit="0" vertical="bottom" wrapText="0"/>
    </xf>
    <xf borderId="12" fillId="3" fontId="13" numFmtId="164" xfId="0" applyAlignment="1" applyBorder="1" applyFont="1" applyNumberFormat="1">
      <alignment horizontal="right" shrinkToFit="0" vertical="center" wrapText="0"/>
    </xf>
    <xf borderId="12" fillId="4" fontId="1" numFmtId="164" xfId="0" applyAlignment="1" applyBorder="1" applyFont="1" applyNumberFormat="1">
      <alignment shrinkToFit="0" vertical="bottom" wrapText="0"/>
    </xf>
    <xf borderId="12" fillId="0" fontId="18" numFmtId="0" xfId="0" applyAlignment="1" applyBorder="1" applyFont="1">
      <alignment horizontal="left" shrinkToFit="0" vertical="center" wrapText="0"/>
    </xf>
    <xf borderId="12" fillId="3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0A0A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9.14"/>
    <col customWidth="1" min="3" max="3" width="3.0"/>
    <col customWidth="1" min="4" max="26" width="8.71"/>
  </cols>
  <sheetData>
    <row r="1">
      <c r="A1" s="1"/>
      <c r="B1" s="1"/>
      <c r="C1" s="1"/>
    </row>
    <row r="2">
      <c r="A2" s="1"/>
      <c r="B2" s="1"/>
      <c r="C2" s="1"/>
    </row>
    <row r="3">
      <c r="A3" s="1"/>
      <c r="B3" s="2" t="s">
        <v>0</v>
      </c>
      <c r="C3" s="1"/>
    </row>
    <row r="4">
      <c r="A4" s="1"/>
      <c r="B4" s="3"/>
      <c r="C4" s="1"/>
    </row>
    <row r="5">
      <c r="A5" s="1"/>
      <c r="B5" s="4"/>
      <c r="C5" s="1"/>
    </row>
    <row r="6">
      <c r="A6" s="1"/>
      <c r="B6" s="5" t="s">
        <v>1</v>
      </c>
      <c r="C6" s="1"/>
    </row>
    <row r="7">
      <c r="A7" s="1"/>
      <c r="B7" s="6" t="s">
        <v>2</v>
      </c>
      <c r="C7" s="1"/>
    </row>
    <row r="8">
      <c r="A8" s="1"/>
      <c r="B8" s="1"/>
      <c r="C8" s="1"/>
    </row>
    <row r="9">
      <c r="A9" s="1"/>
      <c r="B9" s="1"/>
      <c r="C9" s="1"/>
    </row>
    <row r="10">
      <c r="A10" s="1"/>
      <c r="B10" s="7" t="s">
        <v>3</v>
      </c>
      <c r="C10" s="1"/>
    </row>
    <row r="11">
      <c r="A11" s="1"/>
      <c r="B11" s="7" t="s">
        <v>4</v>
      </c>
      <c r="C11" s="1"/>
    </row>
    <row r="12">
      <c r="A12" s="1"/>
      <c r="B12" s="7" t="s">
        <v>5</v>
      </c>
      <c r="C12" s="1"/>
    </row>
    <row r="13">
      <c r="A13" s="1"/>
      <c r="B13" s="7" t="s">
        <v>6</v>
      </c>
      <c r="C13" s="1"/>
    </row>
    <row r="14">
      <c r="A14" s="1"/>
      <c r="B14" s="7" t="s">
        <v>7</v>
      </c>
      <c r="C14" s="1"/>
    </row>
    <row r="15">
      <c r="A15" s="1"/>
      <c r="B15" s="1"/>
      <c r="C15" s="1"/>
    </row>
    <row r="16">
      <c r="A16" s="1"/>
      <c r="B16" s="8" t="s">
        <v>8</v>
      </c>
      <c r="C16" s="1"/>
    </row>
    <row r="17">
      <c r="A17" s="1"/>
      <c r="B17" s="9" t="s">
        <v>9</v>
      </c>
      <c r="C17" s="1"/>
    </row>
    <row r="18">
      <c r="A18" s="1"/>
      <c r="B18" s="10" t="s">
        <v>10</v>
      </c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</sheetData>
  <mergeCells count="1">
    <mergeCell ref="B3:B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B3C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28.0"/>
    <col customWidth="1" min="3" max="4" width="16.0"/>
    <col customWidth="1" min="5" max="7" width="14.0"/>
    <col customWidth="1" min="8" max="8" width="16.0"/>
    <col customWidth="1" min="9" max="9" width="3.0"/>
    <col customWidth="1" min="10" max="26" width="8.71"/>
  </cols>
  <sheetData>
    <row r="1" ht="30.0" customHeight="1">
      <c r="A1" s="1"/>
      <c r="B1" s="11" t="s">
        <v>11</v>
      </c>
      <c r="C1" s="12"/>
      <c r="D1" s="12"/>
      <c r="E1" s="12"/>
      <c r="F1" s="12"/>
      <c r="G1" s="12"/>
      <c r="H1" s="13"/>
      <c r="I1" s="1"/>
    </row>
    <row r="2" ht="27.75" customHeight="1">
      <c r="B2" s="14" t="s">
        <v>12</v>
      </c>
      <c r="C2" s="15"/>
      <c r="D2" s="15"/>
      <c r="E2" s="15"/>
      <c r="F2" s="15"/>
      <c r="G2" s="15"/>
      <c r="H2" s="16"/>
    </row>
    <row r="3" ht="21.75" customHeight="1">
      <c r="B3" s="17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7" t="s">
        <v>19</v>
      </c>
    </row>
    <row r="4" ht="21.75" customHeight="1">
      <c r="B4" s="18" t="s">
        <v>20</v>
      </c>
      <c r="C4" s="19">
        <v>0.0</v>
      </c>
      <c r="D4" s="19">
        <v>0.0</v>
      </c>
      <c r="E4" s="18"/>
      <c r="F4" s="18"/>
      <c r="G4" s="18"/>
      <c r="H4" s="18"/>
    </row>
    <row r="5" ht="21.75" customHeight="1">
      <c r="B5" s="18" t="s">
        <v>21</v>
      </c>
      <c r="C5" s="19">
        <v>0.0</v>
      </c>
      <c r="D5" s="19">
        <v>0.0</v>
      </c>
      <c r="E5" s="18"/>
      <c r="F5" s="18"/>
      <c r="G5" s="18"/>
      <c r="H5" s="18"/>
    </row>
    <row r="6" ht="21.75" customHeight="1">
      <c r="B6" s="18" t="s">
        <v>22</v>
      </c>
      <c r="C6" s="19">
        <v>0.0</v>
      </c>
      <c r="D6" s="19">
        <v>0.0</v>
      </c>
      <c r="E6" s="18"/>
      <c r="F6" s="18"/>
      <c r="G6" s="18"/>
      <c r="H6" s="18"/>
    </row>
    <row r="7" ht="21.75" customHeight="1">
      <c r="B7" s="18" t="s">
        <v>23</v>
      </c>
      <c r="C7" s="19">
        <v>0.0</v>
      </c>
      <c r="D7" s="19">
        <v>0.0</v>
      </c>
      <c r="E7" s="18"/>
      <c r="F7" s="18"/>
      <c r="G7" s="18"/>
      <c r="H7" s="18"/>
    </row>
    <row r="8" ht="21.75" customHeight="1">
      <c r="B8" s="18" t="s">
        <v>24</v>
      </c>
      <c r="C8" s="19">
        <v>0.0</v>
      </c>
      <c r="D8" s="19">
        <v>0.0</v>
      </c>
      <c r="E8" s="18"/>
      <c r="F8" s="18"/>
      <c r="G8" s="18"/>
      <c r="H8" s="18"/>
    </row>
    <row r="9" ht="21.75" customHeight="1">
      <c r="B9" s="18" t="s">
        <v>25</v>
      </c>
      <c r="C9" s="19">
        <v>0.0</v>
      </c>
      <c r="D9" s="19">
        <v>0.0</v>
      </c>
      <c r="E9" s="18"/>
      <c r="F9" s="18"/>
      <c r="G9" s="18"/>
      <c r="H9" s="18"/>
    </row>
    <row r="10" ht="21.75" customHeight="1">
      <c r="B10" s="18" t="s">
        <v>26</v>
      </c>
      <c r="C10" s="19">
        <v>0.0</v>
      </c>
      <c r="D10" s="19">
        <v>0.0</v>
      </c>
      <c r="E10" s="18"/>
      <c r="F10" s="18"/>
      <c r="G10" s="18"/>
      <c r="H10" s="18"/>
    </row>
    <row r="11" ht="21.75" customHeight="1">
      <c r="B11" s="18" t="s">
        <v>27</v>
      </c>
      <c r="C11" s="19">
        <v>0.0</v>
      </c>
      <c r="D11" s="19">
        <v>0.0</v>
      </c>
      <c r="E11" s="18"/>
      <c r="F11" s="18"/>
      <c r="G11" s="18"/>
      <c r="H11" s="18"/>
    </row>
    <row r="12" ht="21.75" customHeight="1">
      <c r="B12" s="18" t="s">
        <v>28</v>
      </c>
      <c r="C12" s="19">
        <v>0.0</v>
      </c>
      <c r="D12" s="19">
        <v>0.0</v>
      </c>
      <c r="E12" s="18"/>
      <c r="F12" s="18"/>
      <c r="G12" s="18"/>
      <c r="H12" s="18"/>
    </row>
    <row r="13" ht="21.75" customHeight="1">
      <c r="B13" s="18" t="s">
        <v>29</v>
      </c>
      <c r="C13" s="19">
        <v>0.0</v>
      </c>
      <c r="D13" s="19">
        <v>0.0</v>
      </c>
      <c r="E13" s="18"/>
      <c r="F13" s="18"/>
      <c r="G13" s="18"/>
      <c r="H13" s="18"/>
    </row>
    <row r="14" ht="21.75" customHeight="1">
      <c r="B14" s="18" t="s">
        <v>30</v>
      </c>
      <c r="C14" s="19">
        <v>0.0</v>
      </c>
      <c r="D14" s="19">
        <v>0.0</v>
      </c>
      <c r="E14" s="18"/>
      <c r="F14" s="18"/>
      <c r="G14" s="18"/>
      <c r="H14" s="18"/>
    </row>
    <row r="15" ht="21.75" customHeight="1">
      <c r="B15" s="18" t="s">
        <v>31</v>
      </c>
      <c r="C15" s="19">
        <v>0.0</v>
      </c>
      <c r="D15" s="19">
        <v>0.0</v>
      </c>
      <c r="E15" s="18"/>
      <c r="F15" s="18"/>
      <c r="G15" s="18"/>
      <c r="H15" s="18"/>
    </row>
    <row r="16" ht="21.75" customHeight="1">
      <c r="B16" s="18" t="s">
        <v>32</v>
      </c>
      <c r="C16" s="19">
        <v>0.0</v>
      </c>
      <c r="D16" s="19">
        <v>0.0</v>
      </c>
      <c r="E16" s="18"/>
      <c r="F16" s="18"/>
      <c r="G16" s="18"/>
      <c r="H16" s="18"/>
    </row>
    <row r="17" ht="21.75" customHeight="1">
      <c r="B17" s="18" t="s">
        <v>33</v>
      </c>
      <c r="C17" s="19">
        <v>0.0</v>
      </c>
      <c r="D17" s="19">
        <v>0.0</v>
      </c>
      <c r="E17" s="18"/>
      <c r="F17" s="18"/>
      <c r="G17" s="18"/>
      <c r="H17" s="18"/>
    </row>
    <row r="18" ht="21.75" customHeight="1">
      <c r="B18" s="18" t="s">
        <v>34</v>
      </c>
      <c r="C18" s="19">
        <v>0.0</v>
      </c>
      <c r="D18" s="19">
        <v>0.0</v>
      </c>
      <c r="E18" s="18"/>
      <c r="F18" s="18"/>
      <c r="G18" s="18"/>
      <c r="H18" s="18"/>
    </row>
    <row r="19" ht="21.75" customHeight="1">
      <c r="B19" s="18" t="s">
        <v>35</v>
      </c>
      <c r="C19" s="19">
        <v>0.0</v>
      </c>
      <c r="D19" s="19">
        <v>0.0</v>
      </c>
      <c r="E19" s="18"/>
      <c r="F19" s="18"/>
      <c r="G19" s="18"/>
      <c r="H19" s="18"/>
    </row>
    <row r="20" ht="21.75" customHeight="1">
      <c r="B20" s="18" t="s">
        <v>36</v>
      </c>
      <c r="C20" s="19">
        <v>0.0</v>
      </c>
      <c r="D20" s="19">
        <v>0.0</v>
      </c>
      <c r="E20" s="18"/>
      <c r="F20" s="18"/>
      <c r="G20" s="18"/>
      <c r="H20" s="18"/>
    </row>
    <row r="21" ht="21.75" customHeight="1">
      <c r="B21" s="18" t="s">
        <v>37</v>
      </c>
      <c r="C21" s="19">
        <v>0.0</v>
      </c>
      <c r="D21" s="19">
        <v>0.0</v>
      </c>
      <c r="E21" s="18"/>
      <c r="F21" s="18"/>
      <c r="G21" s="18"/>
      <c r="H21" s="18"/>
    </row>
    <row r="22" ht="21.75" customHeight="1">
      <c r="B22" s="18" t="s">
        <v>38</v>
      </c>
      <c r="C22" s="19">
        <v>0.0</v>
      </c>
      <c r="D22" s="19">
        <v>0.0</v>
      </c>
      <c r="E22" s="18"/>
      <c r="F22" s="18"/>
      <c r="G22" s="18"/>
      <c r="H22" s="18"/>
    </row>
    <row r="23" ht="21.75" customHeight="1">
      <c r="B23" s="18" t="s">
        <v>39</v>
      </c>
      <c r="C23" s="19">
        <v>0.0</v>
      </c>
      <c r="D23" s="19">
        <v>0.0</v>
      </c>
      <c r="E23" s="18"/>
      <c r="F23" s="18"/>
      <c r="G23" s="18"/>
      <c r="H23" s="18"/>
    </row>
    <row r="24" ht="15.75" customHeight="1">
      <c r="B24" s="20" t="s">
        <v>40</v>
      </c>
      <c r="C24" s="21">
        <f t="shared" ref="C24:D24" si="1">SUM(C4:C23)</f>
        <v>0</v>
      </c>
      <c r="D24" s="21">
        <f t="shared" si="1"/>
        <v>0</v>
      </c>
    </row>
    <row r="25" ht="15.75" customHeight="1"/>
    <row r="26" ht="15.75" customHeight="1">
      <c r="B26" s="20" t="s">
        <v>41</v>
      </c>
      <c r="C26" s="19">
        <v>0.0</v>
      </c>
    </row>
    <row r="27" ht="15.75" customHeight="1">
      <c r="B27" s="20" t="s">
        <v>42</v>
      </c>
      <c r="C27" s="22">
        <f>IFERROR(C24/C26,0)</f>
        <v>0</v>
      </c>
    </row>
    <row r="28" ht="15.75" customHeight="1"/>
    <row r="29" ht="19.5" customHeight="1">
      <c r="B29" s="23" t="s">
        <v>43</v>
      </c>
      <c r="C29" s="24"/>
      <c r="D29" s="24"/>
      <c r="E29" s="24"/>
      <c r="F29" s="24"/>
      <c r="G29" s="24"/>
      <c r="H29" s="25"/>
    </row>
    <row r="30" ht="21.75" customHeight="1">
      <c r="B30" s="17" t="s">
        <v>44</v>
      </c>
      <c r="C30" s="17" t="s">
        <v>45</v>
      </c>
      <c r="D30" s="17" t="s">
        <v>46</v>
      </c>
    </row>
    <row r="31" ht="21.75" customHeight="1">
      <c r="B31" s="20" t="s">
        <v>47</v>
      </c>
      <c r="C31" s="22">
        <f>IFERROR(C4/C26,0)</f>
        <v>0</v>
      </c>
      <c r="D31" s="26" t="s">
        <v>48</v>
      </c>
    </row>
    <row r="32" ht="21.75" customHeight="1">
      <c r="B32" s="20" t="s">
        <v>49</v>
      </c>
      <c r="C32" s="22">
        <f>IFERROR(SUM(C4:C6)/C26,0)</f>
        <v>0</v>
      </c>
      <c r="D32" s="26" t="s">
        <v>50</v>
      </c>
    </row>
    <row r="33" ht="21.75" customHeight="1">
      <c r="B33" s="20" t="s">
        <v>51</v>
      </c>
      <c r="C33" s="22">
        <f>IFERROR(SUM(C4:C8)/C26,0)</f>
        <v>0</v>
      </c>
      <c r="D33" s="26" t="s">
        <v>52</v>
      </c>
    </row>
    <row r="34" ht="21.75" customHeight="1">
      <c r="B34" s="20" t="s">
        <v>53</v>
      </c>
      <c r="C34" s="22">
        <f>IFERROR(SUM(C4:C13)/C26,0)</f>
        <v>0</v>
      </c>
      <c r="D34" s="26" t="s">
        <v>54</v>
      </c>
    </row>
    <row r="35" ht="21.75" customHeight="1">
      <c r="B35" s="20" t="s">
        <v>55</v>
      </c>
      <c r="C35" s="27">
        <f>IFERROR(COUNTIF(H4:H23,"High"),0)</f>
        <v>0</v>
      </c>
      <c r="D35" s="26" t="s">
        <v>56</v>
      </c>
    </row>
    <row r="36" ht="21.75" customHeight="1">
      <c r="B36" s="20" t="s">
        <v>57</v>
      </c>
      <c r="C36" s="21">
        <f>IFERROR(SUMIF(H4:H23,"High",C4:C23),0)</f>
        <v>0</v>
      </c>
      <c r="D36" s="26" t="s">
        <v>58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29:H2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5200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7" width="16.0"/>
    <col customWidth="1" min="8" max="8" width="3.0"/>
    <col customWidth="1" min="9" max="26" width="8.71"/>
  </cols>
  <sheetData>
    <row r="1" ht="30.0" customHeight="1">
      <c r="A1" s="1"/>
      <c r="B1" s="11" t="s">
        <v>59</v>
      </c>
      <c r="C1" s="12"/>
      <c r="D1" s="12"/>
      <c r="E1" s="12"/>
      <c r="F1" s="12"/>
      <c r="G1" s="13"/>
      <c r="H1" s="1"/>
    </row>
    <row r="2" ht="27.75" customHeight="1">
      <c r="B2" s="14" t="s">
        <v>60</v>
      </c>
      <c r="C2" s="15"/>
      <c r="D2" s="15"/>
      <c r="E2" s="15"/>
      <c r="F2" s="15"/>
      <c r="G2" s="16"/>
    </row>
    <row r="3" ht="21.75" customHeight="1">
      <c r="B3" s="17" t="s">
        <v>61</v>
      </c>
      <c r="C3" s="17" t="s">
        <v>62</v>
      </c>
      <c r="D3" s="17" t="s">
        <v>63</v>
      </c>
      <c r="E3" s="17" t="s">
        <v>64</v>
      </c>
      <c r="F3" s="17" t="s">
        <v>65</v>
      </c>
      <c r="G3" s="17" t="s">
        <v>66</v>
      </c>
    </row>
    <row r="4" ht="21.75" customHeight="1">
      <c r="B4" s="28" t="s">
        <v>67</v>
      </c>
      <c r="C4" s="19">
        <v>0.0</v>
      </c>
      <c r="D4" s="19">
        <v>0.0</v>
      </c>
      <c r="E4" s="19">
        <v>0.0</v>
      </c>
      <c r="F4" s="19">
        <v>0.0</v>
      </c>
      <c r="G4" s="19">
        <v>0.0</v>
      </c>
      <c r="H4" s="19">
        <v>0.0</v>
      </c>
    </row>
    <row r="5" ht="21.75" customHeight="1">
      <c r="B5" s="28" t="s">
        <v>68</v>
      </c>
      <c r="C5" s="19">
        <v>0.0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</row>
    <row r="6" ht="21.75" customHeight="1">
      <c r="B6" s="28" t="s">
        <v>69</v>
      </c>
      <c r="C6" s="19">
        <v>0.0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</row>
    <row r="7" ht="21.75" customHeight="1">
      <c r="B7" s="28" t="s">
        <v>70</v>
      </c>
      <c r="C7" s="19">
        <v>0.0</v>
      </c>
      <c r="D7" s="19">
        <v>0.0</v>
      </c>
      <c r="E7" s="19">
        <v>0.0</v>
      </c>
      <c r="F7" s="19">
        <v>0.0</v>
      </c>
      <c r="G7" s="19">
        <v>0.0</v>
      </c>
      <c r="H7" s="19">
        <v>0.0</v>
      </c>
    </row>
    <row r="8" ht="21.75" customHeight="1">
      <c r="B8" s="28" t="s">
        <v>71</v>
      </c>
      <c r="C8" s="19">
        <v>0.0</v>
      </c>
      <c r="D8" s="19">
        <v>0.0</v>
      </c>
      <c r="E8" s="19">
        <v>0.0</v>
      </c>
      <c r="F8" s="19">
        <v>0.0</v>
      </c>
      <c r="G8" s="19">
        <v>0.0</v>
      </c>
      <c r="H8" s="19">
        <v>0.0</v>
      </c>
    </row>
    <row r="9" ht="21.75" customHeight="1">
      <c r="B9" s="28" t="s">
        <v>72</v>
      </c>
      <c r="C9" s="19">
        <v>0.0</v>
      </c>
      <c r="D9" s="19">
        <v>0.0</v>
      </c>
      <c r="E9" s="19">
        <v>0.0</v>
      </c>
      <c r="F9" s="19">
        <v>0.0</v>
      </c>
      <c r="G9" s="19">
        <v>0.0</v>
      </c>
      <c r="H9" s="19">
        <v>0.0</v>
      </c>
    </row>
    <row r="10" ht="21.75" customHeight="1">
      <c r="B10" s="28" t="s">
        <v>73</v>
      </c>
      <c r="C10" s="19">
        <v>0.0</v>
      </c>
      <c r="D10" s="19">
        <v>0.0</v>
      </c>
      <c r="E10" s="19">
        <v>0.0</v>
      </c>
      <c r="F10" s="19">
        <v>0.0</v>
      </c>
      <c r="G10" s="19">
        <v>0.0</v>
      </c>
      <c r="H10" s="19">
        <v>0.0</v>
      </c>
    </row>
    <row r="11">
      <c r="B11" s="20" t="s">
        <v>74</v>
      </c>
      <c r="C11" s="21">
        <f t="shared" ref="C11:H11" si="1">SUM(C4:C10)</f>
        <v>0</v>
      </c>
      <c r="D11" s="21">
        <f t="shared" si="1"/>
        <v>0</v>
      </c>
      <c r="E11" s="21">
        <f t="shared" si="1"/>
        <v>0</v>
      </c>
      <c r="F11" s="21">
        <f t="shared" si="1"/>
        <v>0</v>
      </c>
      <c r="G11" s="21">
        <f t="shared" si="1"/>
        <v>0</v>
      </c>
      <c r="H11" s="21">
        <f t="shared" si="1"/>
        <v>0</v>
      </c>
    </row>
    <row r="13" ht="19.5" customHeight="1">
      <c r="B13" s="23" t="s">
        <v>75</v>
      </c>
      <c r="C13" s="24"/>
      <c r="D13" s="24"/>
      <c r="E13" s="24"/>
      <c r="F13" s="24"/>
      <c r="G13" s="25"/>
    </row>
    <row r="14" ht="21.75" customHeight="1">
      <c r="B14" s="17" t="s">
        <v>44</v>
      </c>
      <c r="C14" s="17" t="s">
        <v>76</v>
      </c>
      <c r="D14" s="17" t="s">
        <v>77</v>
      </c>
      <c r="E14" s="17" t="s">
        <v>78</v>
      </c>
    </row>
    <row r="15" ht="21.75" customHeight="1">
      <c r="B15" s="20" t="s">
        <v>79</v>
      </c>
      <c r="C15" s="21">
        <f>SUM(C4:C6)</f>
        <v>0</v>
      </c>
      <c r="D15" s="21">
        <f>SUM(H4:H6)</f>
        <v>0</v>
      </c>
      <c r="E15" s="29">
        <f t="shared" ref="E15:E17" si="2">IFERROR(D15-C15,0)</f>
        <v>0</v>
      </c>
    </row>
    <row r="16" ht="21.75" customHeight="1">
      <c r="B16" s="20" t="s">
        <v>80</v>
      </c>
      <c r="C16" s="22">
        <f>IFERROR(SUM(C4:C6)/C11,0)</f>
        <v>0</v>
      </c>
      <c r="D16" s="22">
        <f>IFERROR(SUM(H4:H6)/H11,0)</f>
        <v>0</v>
      </c>
      <c r="E16" s="30">
        <f t="shared" si="2"/>
        <v>0</v>
      </c>
    </row>
    <row r="17" ht="21.75" customHeight="1">
      <c r="B17" s="20" t="s">
        <v>81</v>
      </c>
      <c r="C17" s="31"/>
      <c r="D17" s="22">
        <f>IFERROR((H11-G11)/G11,0)</f>
        <v>0</v>
      </c>
      <c r="E17" s="30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B2:G2"/>
    <mergeCell ref="B13:G1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6B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10" width="14.0"/>
    <col customWidth="1" min="11" max="11" width="3.0"/>
    <col customWidth="1" min="12" max="26" width="8.71"/>
  </cols>
  <sheetData>
    <row r="1" ht="30.0" customHeight="1">
      <c r="A1" s="1"/>
      <c r="B1" s="11" t="s">
        <v>82</v>
      </c>
      <c r="C1" s="12"/>
      <c r="D1" s="12"/>
      <c r="E1" s="12"/>
      <c r="F1" s="12"/>
      <c r="G1" s="12"/>
      <c r="H1" s="12"/>
      <c r="I1" s="12"/>
      <c r="J1" s="13"/>
      <c r="K1" s="1"/>
    </row>
    <row r="2" ht="27.75" customHeight="1">
      <c r="B2" s="14" t="s">
        <v>83</v>
      </c>
      <c r="C2" s="15"/>
      <c r="D2" s="15"/>
      <c r="E2" s="15"/>
      <c r="F2" s="15"/>
      <c r="G2" s="15"/>
      <c r="H2" s="15"/>
      <c r="I2" s="15"/>
      <c r="J2" s="16"/>
    </row>
    <row r="3" ht="21.75" customHeight="1">
      <c r="B3" s="17" t="s">
        <v>84</v>
      </c>
      <c r="C3" s="17" t="s">
        <v>85</v>
      </c>
      <c r="D3" s="17" t="s">
        <v>86</v>
      </c>
      <c r="E3" s="17" t="s">
        <v>87</v>
      </c>
      <c r="F3" s="17" t="s">
        <v>88</v>
      </c>
      <c r="G3" s="17" t="s">
        <v>89</v>
      </c>
      <c r="H3" s="17" t="s">
        <v>90</v>
      </c>
      <c r="I3" s="17" t="s">
        <v>91</v>
      </c>
      <c r="J3" s="17" t="s">
        <v>92</v>
      </c>
    </row>
    <row r="4" ht="21.75" customHeight="1">
      <c r="B4" s="28" t="s">
        <v>93</v>
      </c>
      <c r="C4" s="32">
        <v>1.0</v>
      </c>
      <c r="D4" s="33">
        <v>0.0</v>
      </c>
      <c r="E4" s="33">
        <v>0.0</v>
      </c>
      <c r="F4" s="33">
        <v>0.0</v>
      </c>
      <c r="G4" s="33">
        <v>0.0</v>
      </c>
      <c r="H4" s="33">
        <v>0.0</v>
      </c>
      <c r="I4" s="33">
        <v>0.0</v>
      </c>
      <c r="J4" s="33">
        <v>0.0</v>
      </c>
    </row>
    <row r="5" ht="21.75" customHeight="1">
      <c r="B5" s="28" t="s">
        <v>94</v>
      </c>
      <c r="C5" s="32">
        <v>1.0</v>
      </c>
      <c r="D5" s="33">
        <v>0.0</v>
      </c>
      <c r="E5" s="33">
        <v>0.0</v>
      </c>
      <c r="F5" s="33">
        <v>0.0</v>
      </c>
      <c r="G5" s="33">
        <v>0.0</v>
      </c>
      <c r="H5" s="33">
        <v>0.0</v>
      </c>
      <c r="I5" s="33">
        <v>0.0</v>
      </c>
      <c r="J5" s="33">
        <v>0.0</v>
      </c>
    </row>
    <row r="6" ht="21.75" customHeight="1">
      <c r="B6" s="28" t="s">
        <v>95</v>
      </c>
      <c r="C6" s="32">
        <v>1.0</v>
      </c>
      <c r="D6" s="33">
        <v>0.0</v>
      </c>
      <c r="E6" s="33">
        <v>0.0</v>
      </c>
      <c r="F6" s="33">
        <v>0.0</v>
      </c>
      <c r="G6" s="33">
        <v>0.0</v>
      </c>
      <c r="H6" s="33">
        <v>0.0</v>
      </c>
      <c r="I6" s="33">
        <v>0.0</v>
      </c>
      <c r="J6" s="33">
        <v>0.0</v>
      </c>
    </row>
    <row r="7" ht="21.75" customHeight="1">
      <c r="B7" s="28" t="s">
        <v>96</v>
      </c>
      <c r="C7" s="32">
        <v>1.0</v>
      </c>
      <c r="D7" s="33">
        <v>0.0</v>
      </c>
      <c r="E7" s="33">
        <v>0.0</v>
      </c>
      <c r="F7" s="33">
        <v>0.0</v>
      </c>
      <c r="G7" s="33">
        <v>0.0</v>
      </c>
      <c r="H7" s="33">
        <v>0.0</v>
      </c>
      <c r="I7" s="33">
        <v>0.0</v>
      </c>
      <c r="J7" s="33">
        <v>0.0</v>
      </c>
    </row>
    <row r="8" ht="21.75" customHeight="1">
      <c r="B8" s="28" t="s">
        <v>97</v>
      </c>
      <c r="C8" s="32">
        <v>1.0</v>
      </c>
      <c r="D8" s="33">
        <v>0.0</v>
      </c>
      <c r="E8" s="33">
        <v>0.0</v>
      </c>
      <c r="F8" s="33">
        <v>0.0</v>
      </c>
      <c r="G8" s="33">
        <v>0.0</v>
      </c>
      <c r="H8" s="33">
        <v>0.0</v>
      </c>
      <c r="I8" s="33">
        <v>0.0</v>
      </c>
      <c r="J8" s="33">
        <v>0.0</v>
      </c>
    </row>
    <row r="9" ht="21.75" customHeight="1">
      <c r="B9" s="28" t="s">
        <v>98</v>
      </c>
      <c r="C9" s="32">
        <v>1.0</v>
      </c>
      <c r="D9" s="33">
        <v>0.0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</row>
    <row r="10" ht="21.75" customHeight="1">
      <c r="B10" s="28" t="s">
        <v>99</v>
      </c>
      <c r="C10" s="32">
        <v>1.0</v>
      </c>
      <c r="D10" s="33">
        <v>0.0</v>
      </c>
      <c r="E10" s="33">
        <v>0.0</v>
      </c>
      <c r="F10" s="33">
        <v>0.0</v>
      </c>
      <c r="G10" s="33">
        <v>0.0</v>
      </c>
      <c r="H10" s="33">
        <v>0.0</v>
      </c>
      <c r="I10" s="33">
        <v>0.0</v>
      </c>
      <c r="J10" s="33">
        <v>0.0</v>
      </c>
    </row>
    <row r="11" ht="21.75" customHeight="1">
      <c r="B11" s="28" t="s">
        <v>100</v>
      </c>
      <c r="C11" s="32">
        <v>1.0</v>
      </c>
      <c r="D11" s="33">
        <v>0.0</v>
      </c>
      <c r="E11" s="33">
        <v>0.0</v>
      </c>
      <c r="F11" s="33">
        <v>0.0</v>
      </c>
      <c r="G11" s="33">
        <v>0.0</v>
      </c>
      <c r="H11" s="33">
        <v>0.0</v>
      </c>
      <c r="I11" s="33">
        <v>0.0</v>
      </c>
      <c r="J11" s="33">
        <v>0.0</v>
      </c>
    </row>
    <row r="12">
      <c r="B12" s="20" t="s">
        <v>101</v>
      </c>
      <c r="C12" s="34">
        <v>1.0</v>
      </c>
      <c r="D12" s="22">
        <f t="shared" ref="D12:J12" si="1">IFERROR(AVERAGEIF(D4:D11,"&gt;0"),0)</f>
        <v>0</v>
      </c>
      <c r="E12" s="22">
        <f t="shared" si="1"/>
        <v>0</v>
      </c>
      <c r="F12" s="22">
        <f t="shared" si="1"/>
        <v>0</v>
      </c>
      <c r="G12" s="22">
        <f t="shared" si="1"/>
        <v>0</v>
      </c>
      <c r="H12" s="22">
        <f t="shared" si="1"/>
        <v>0</v>
      </c>
      <c r="I12" s="22">
        <f t="shared" si="1"/>
        <v>0</v>
      </c>
      <c r="J12" s="22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J1"/>
    <mergeCell ref="B2:J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2D2D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32.0"/>
    <col customWidth="1" min="4" max="4" width="3.0"/>
    <col customWidth="1" min="5" max="26" width="8.71"/>
  </cols>
  <sheetData>
    <row r="1" ht="30.0" customHeight="1">
      <c r="A1" s="1"/>
      <c r="B1" s="11" t="s">
        <v>102</v>
      </c>
      <c r="C1" s="13"/>
      <c r="D1" s="1"/>
    </row>
    <row r="2" ht="27.75" customHeight="1">
      <c r="B2" s="14" t="s">
        <v>103</v>
      </c>
      <c r="C2" s="16"/>
    </row>
    <row r="3" ht="36.0" customHeight="1">
      <c r="B3" s="35" t="s">
        <v>104</v>
      </c>
      <c r="C3" s="36"/>
    </row>
    <row r="4" ht="36.0" customHeight="1">
      <c r="B4" s="35" t="s">
        <v>105</v>
      </c>
      <c r="C4" s="36"/>
    </row>
    <row r="5" ht="36.0" customHeight="1">
      <c r="B5" s="35" t="s">
        <v>106</v>
      </c>
      <c r="C5" s="36"/>
    </row>
    <row r="6" ht="36.0" customHeight="1">
      <c r="B6" s="35" t="s">
        <v>107</v>
      </c>
      <c r="C6" s="36"/>
    </row>
    <row r="7" ht="36.0" customHeight="1">
      <c r="B7" s="35" t="s">
        <v>108</v>
      </c>
      <c r="C7" s="36"/>
    </row>
    <row r="8" ht="36.0" customHeight="1">
      <c r="B8" s="35" t="s">
        <v>109</v>
      </c>
      <c r="C8" s="36"/>
    </row>
    <row r="9" ht="36.0" customHeight="1">
      <c r="B9" s="35" t="s">
        <v>110</v>
      </c>
      <c r="C9" s="36"/>
    </row>
    <row r="10" ht="36.0" customHeight="1">
      <c r="B10" s="35" t="s">
        <v>111</v>
      </c>
      <c r="C1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1"/>
    <mergeCell ref="B2:C2"/>
  </mergeCells>
  <printOptions/>
  <pageMargins bottom="1.0" footer="0.0" header="0.0" left="0.75" right="0.75" top="1.0"/>
  <pageSetup paperSize="9" orientation="portrait"/>
  <drawing r:id="rId1"/>
</worksheet>
</file>