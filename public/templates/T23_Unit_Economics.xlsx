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 Entry" sheetId="1" state="visible" r:id="rId3"/>
    <sheet name="Dashboard" sheetId="2" state="visible" r:id="rId4"/>
    <sheet name="Print Repor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<sst xmlns="http://schemas.openxmlformats.org/spreadsheetml/2006/main" count="68" uniqueCount="57">
  <si>
    <t xml:space="preserve">Revenue Quality Diagnostic — Analyst Data Entry</t>
  </si>
  <si>
    <t xml:space="preserve">Paste or enter key metrics from client file. Yellow = data entry.</t>
  </si>
  <si>
    <t xml:space="preserve">Metric</t>
  </si>
  <si>
    <t xml:space="preserve">Current</t>
  </si>
  <si>
    <t xml:space="preserve">Prior Period</t>
  </si>
  <si>
    <t xml:space="preserve">Source</t>
  </si>
  <si>
    <t xml:space="preserve">A · CONCENTRATION RISK</t>
  </si>
  <si>
    <t xml:space="preserve">  Top 1 Customer % of ARR</t>
  </si>
  <si>
    <t xml:space="preserve">  Top 3 Customers % of ARR</t>
  </si>
  <si>
    <t xml:space="preserve">  Top 5 Customers % of ARR</t>
  </si>
  <si>
    <t xml:space="preserve">  Top 10 Customers % of ARR</t>
  </si>
  <si>
    <t xml:space="preserve">  Customers with High Renewal Risk</t>
  </si>
  <si>
    <t xml:space="preserve">  Revenue at High Renewal Risk (₹ Cr)</t>
  </si>
  <si>
    <t xml:space="preserve">  Total ARR / Annual Revenue (₹ Cr)</t>
  </si>
  <si>
    <t xml:space="preserve">B · REVENUE MIX</t>
  </si>
  <si>
    <t xml:space="preserve">  Recurring Revenue % (latest month)</t>
  </si>
  <si>
    <t xml:space="preserve">  Recurring Revenue % (6 months ago)</t>
  </si>
  <si>
    <t xml:space="preserve">  Total Monthly Revenue Latest (₹ Cr)</t>
  </si>
  <si>
    <t xml:space="preserve">  Total Monthly Revenue 6 months ago (₹ Cr)</t>
  </si>
  <si>
    <t xml:space="preserve">  MoM Revenue Growth (latest)</t>
  </si>
  <si>
    <t xml:space="preserve">  Subscription ARR (₹ Cr)</t>
  </si>
  <si>
    <t xml:space="preserve">  Transactional Revenue % of Mix</t>
  </si>
  <si>
    <t xml:space="preserve">C · COHORT &amp; RETENTION</t>
  </si>
  <si>
    <t xml:space="preserve">  Average P3 Retention %</t>
  </si>
  <si>
    <t xml:space="preserve">  Average P6 Retention %</t>
  </si>
  <si>
    <t xml:space="preserve">  Average P12 Retention %</t>
  </si>
  <si>
    <t xml:space="preserve">  NRR at 12 Months (%)</t>
  </si>
  <si>
    <t xml:space="preserve">  Logo Churn Rate (annual %)</t>
  </si>
  <si>
    <t xml:space="preserve">  Average Contract Length (months)</t>
  </si>
  <si>
    <t xml:space="preserve">  ARPU Trend (% change, 12 months)</t>
  </si>
  <si>
    <t xml:space="preserve">D · GROWTH QUALITY</t>
  </si>
  <si>
    <t xml:space="preserve">  New Logo ARR Added (last 12mo) (₹ Cr)</t>
  </si>
  <si>
    <t xml:space="preserve">  Expansion ARR (upsell/cross-sell) (₹ Cr)</t>
  </si>
  <si>
    <t xml:space="preserve">  Churned ARR (₹ Cr)</t>
  </si>
  <si>
    <t xml:space="preserve">  Net New ARR (₹ Cr)</t>
  </si>
  <si>
    <t xml:space="preserve">  Growth Efficiency (Net New ARR / S&amp;M Spend)</t>
  </si>
  <si>
    <t xml:space="preserve">Revenue Quality Diagnostic — Dashboard</t>
  </si>
  <si>
    <t xml:space="preserve">Auto-calculated from Data Entry.</t>
  </si>
  <si>
    <t xml:space="preserve">REVENUE QUALITY SCORECARD</t>
  </si>
  <si>
    <t xml:space="preserve">Value</t>
  </si>
  <si>
    <t xml:space="preserve">Prior</t>
  </si>
  <si>
    <t xml:space="preserve">Health Status</t>
  </si>
  <si>
    <t xml:space="preserve">  Top 1 Customer Concentration</t>
  </si>
  <si>
    <t xml:space="preserve">  Top 5 Customer Concentration</t>
  </si>
  <si>
    <t xml:space="preserve">  Recurring Revenue %</t>
  </si>
  <si>
    <t xml:space="preserve">  NRR at 12 Months</t>
  </si>
  <si>
    <t xml:space="preserve">  Logo Churn Rate (annual)</t>
  </si>
  <si>
    <t xml:space="preserve">  P6 Cohort Retention Avg</t>
  </si>
  <si>
    <t xml:space="preserve">  Net New ARR (last 12mo)</t>
  </si>
  <si>
    <t xml:space="preserve">ANALYST COMMENTARY</t>
  </si>
  <si>
    <t xml:space="preserve">Analyst: Revenue quality verdict — assess concentration risk, recurring mix, and NRR trajectory. Identify which dimension poses the greatest structural risk to ARR predictability.</t>
  </si>
  <si>
    <t xml:space="preserve">Analyst: Cohort durability — interpret the retention shape and identify whether churn is front-loaded (early cancellation) or gradual. Flag any deteriorating cohorts.</t>
  </si>
  <si>
    <t xml:space="preserve">Analyst: Top 3 revenue quality improvement actions — specific, actionable, with timelines and expected impact on ARR predictability.</t>
  </si>
  <si>
    <t xml:space="preserve">PROFYT  ·  Revenue Quality Diagnostic Report — Tier 2</t>
  </si>
  <si>
    <t xml:space="preserve">Confidential  ·  Prepared by PROFYT</t>
  </si>
  <si>
    <t xml:space="preserve">Status</t>
  </si>
  <si>
    <t xml:space="preserve">ANALYST ASSESSMENT &amp; RECOMMENDATIONS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</si>
</sst>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#,##0"/>
    <numFmt numFmtId="167" formatCode="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9A9A9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D2D2D"/>
      <name val="Arial"/>
      <family val="0"/>
      <charset val="1"/>
    </font>
    <font>
      <sz val="11"/>
      <color rgb="FF0000CC"/>
      <name val="Arial"/>
      <family val="0"/>
      <charset val="1"/>
    </font>
    <font>
      <b val="true"/>
      <sz val="10"/>
      <color rgb="FF2D2D2D"/>
      <name val="Arial"/>
      <family val="0"/>
      <charset val="1"/>
    </font>
    <font>
      <b val="true"/>
      <sz val="10"/>
      <color rgb="FF0A0A0A"/>
      <name val="Arial"/>
      <family val="0"/>
      <charset val="1"/>
    </font>
    <font>
      <b val="true"/>
      <sz val="10"/>
      <color rgb="FF006600"/>
      <name val="Arial"/>
      <family val="0"/>
      <charset val="1"/>
    </font>
    <font>
      <sz val="10"/>
      <color rgb="FF006600"/>
      <name val="Arial"/>
      <family val="0"/>
      <charset val="1"/>
    </font>
    <font>
      <i val="true"/>
      <sz val="10"/>
      <color rgb="FF1A3A6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2D2D2D"/>
        <bgColor rgb="FF1A1A1A"/>
      </patternFill>
    </fill>
    <fill>
      <patternFill patternType="solid">
        <fgColor rgb="FF1A1A1A"/>
        <bgColor rgb="FF0A0A0A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F0F4FF"/>
      </patternFill>
    </fill>
    <fill>
      <patternFill patternType="solid">
        <fgColor rgb="FFF0F4FF"/>
        <bgColor rgb="FFF7F7F7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2D2D2D"/>
      </left>
      <right style="thin">
        <color rgb="FF2D2D2D"/>
      </right>
      <top style="thin">
        <color rgb="FF2D2D2D"/>
      </top>
      <bottom style="thin">
        <color rgb="FF2D2D2D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1A3A6B"/>
      </left>
      <right style="thin">
        <color rgb="FF1A3A6B"/>
      </right>
      <top style="thin">
        <color rgb="FF1A3A6B"/>
      </top>
      <bottom style="thin">
        <color rgb="FF1A3A6B"/>
      </bottom>
      <diagonal/>
    </border>
    <border diagonalUp="false" diagonalDown="false">
      <left style="thin">
        <color rgb="FF1A3A6B"/>
      </left>
      <right/>
      <top style="thin">
        <color rgb="FF1A3A6B"/>
      </top>
      <bottom style="thin">
        <color rgb="FF1A3A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5" xfId="0" applyFont="fals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1A6B3C"/>
      <rgbColor rgb="FFC0C0C0"/>
      <rgbColor rgb="FF808080"/>
      <rgbColor rgb="FF9999FF"/>
      <rgbColor rgb="FF993366"/>
      <rgbColor rgb="FFF7F7F7"/>
      <rgbColor rgb="FFF0F4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A9A"/>
      <rgbColor rgb="FF1A3A6B"/>
      <rgbColor rgb="FF339966"/>
      <rgbColor rgb="FF0A0A0A"/>
      <rgbColor rgb="FF1A1A1A"/>
      <rgbColor rgb="FF9B1C1C"/>
      <rgbColor rgb="FF993366"/>
      <rgbColor rgb="FF333399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6B3C"/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22"/>
    <col collapsed="false" customWidth="true" hidden="false" outlineLevel="0" max="6" min="6" style="0" width="3"/>
  </cols>
  <sheetData>
    <row r="1" customFormat="false" ht="30" hidden="false" customHeight="true" outlineLevel="0" collapsed="false">
      <c r="A1" s="1"/>
      <c r="B1" s="2" t="s">
        <v>0</v>
      </c>
      <c r="C1" s="2"/>
      <c r="D1" s="2"/>
      <c r="E1" s="2"/>
      <c r="F1" s="1"/>
    </row>
    <row r="2" customFormat="false" ht="15" hidden="false" customHeight="false" outlineLevel="0" collapsed="false">
      <c r="B2" s="3" t="s">
        <v>1</v>
      </c>
      <c r="C2" s="3"/>
      <c r="D2" s="3"/>
      <c r="E2" s="3"/>
    </row>
    <row r="4" customFormat="false" ht="21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</row>
    <row r="5" customFormat="false" ht="19.5" hidden="false" customHeight="true" outlineLevel="0" collapsed="false">
      <c r="B5" s="5" t="s">
        <v>6</v>
      </c>
      <c r="C5" s="5"/>
      <c r="D5" s="5"/>
      <c r="E5" s="5"/>
    </row>
    <row r="6" customFormat="false" ht="21.75" hidden="false" customHeight="true" outlineLevel="0" collapsed="false">
      <c r="B6" s="6" t="s">
        <v>7</v>
      </c>
      <c r="C6" s="7" t="n">
        <v>0</v>
      </c>
      <c r="D6" s="7" t="n">
        <v>0</v>
      </c>
      <c r="E6" s="8"/>
    </row>
    <row r="7" customFormat="false" ht="21.75" hidden="false" customHeight="true" outlineLevel="0" collapsed="false">
      <c r="B7" s="6" t="s">
        <v>8</v>
      </c>
      <c r="C7" s="7" t="n">
        <v>0</v>
      </c>
      <c r="D7" s="7" t="n">
        <v>0</v>
      </c>
      <c r="E7" s="8"/>
    </row>
    <row r="8" customFormat="false" ht="21.75" hidden="false" customHeight="true" outlineLevel="0" collapsed="false">
      <c r="B8" s="6" t="s">
        <v>9</v>
      </c>
      <c r="C8" s="7" t="n">
        <v>0</v>
      </c>
      <c r="D8" s="7" t="n">
        <v>0</v>
      </c>
      <c r="E8" s="8"/>
    </row>
    <row r="9" customFormat="false" ht="21.75" hidden="false" customHeight="true" outlineLevel="0" collapsed="false">
      <c r="B9" s="6" t="s">
        <v>10</v>
      </c>
      <c r="C9" s="7" t="n">
        <v>0</v>
      </c>
      <c r="D9" s="7" t="n">
        <v>0</v>
      </c>
      <c r="E9" s="8"/>
    </row>
    <row r="10" customFormat="false" ht="21.75" hidden="false" customHeight="true" outlineLevel="0" collapsed="false">
      <c r="B10" s="6" t="s">
        <v>11</v>
      </c>
      <c r="C10" s="9" t="n">
        <v>0</v>
      </c>
      <c r="D10" s="9" t="n">
        <v>0</v>
      </c>
      <c r="E10" s="8"/>
    </row>
    <row r="11" customFormat="false" ht="21.75" hidden="false" customHeight="true" outlineLevel="0" collapsed="false">
      <c r="B11" s="6" t="s">
        <v>12</v>
      </c>
      <c r="C11" s="10" t="n">
        <v>0</v>
      </c>
      <c r="D11" s="10" t="n">
        <v>0</v>
      </c>
      <c r="E11" s="8"/>
    </row>
    <row r="12" customFormat="false" ht="21.75" hidden="false" customHeight="true" outlineLevel="0" collapsed="false">
      <c r="B12" s="6" t="s">
        <v>13</v>
      </c>
      <c r="C12" s="10" t="n">
        <v>0</v>
      </c>
      <c r="D12" s="10" t="n">
        <v>0</v>
      </c>
      <c r="E12" s="8"/>
    </row>
    <row r="14" customFormat="false" ht="19.5" hidden="false" customHeight="true" outlineLevel="0" collapsed="false">
      <c r="B14" s="5" t="s">
        <v>14</v>
      </c>
      <c r="C14" s="5"/>
      <c r="D14" s="5"/>
      <c r="E14" s="5"/>
    </row>
    <row r="15" customFormat="false" ht="21.75" hidden="false" customHeight="true" outlineLevel="0" collapsed="false">
      <c r="B15" s="6" t="s">
        <v>15</v>
      </c>
      <c r="C15" s="7" t="n">
        <v>0</v>
      </c>
      <c r="D15" s="8"/>
      <c r="E15" s="8"/>
    </row>
    <row r="16" customFormat="false" ht="21.75" hidden="false" customHeight="true" outlineLevel="0" collapsed="false">
      <c r="B16" s="6" t="s">
        <v>16</v>
      </c>
      <c r="C16" s="7" t="n">
        <v>0</v>
      </c>
      <c r="D16" s="8"/>
      <c r="E16" s="8"/>
    </row>
    <row r="17" customFormat="false" ht="21.75" hidden="false" customHeight="true" outlineLevel="0" collapsed="false">
      <c r="B17" s="6" t="s">
        <v>17</v>
      </c>
      <c r="C17" s="10" t="n">
        <v>0</v>
      </c>
      <c r="D17" s="8"/>
      <c r="E17" s="8"/>
    </row>
    <row r="18" customFormat="false" ht="21.75" hidden="false" customHeight="true" outlineLevel="0" collapsed="false">
      <c r="B18" s="6" t="s">
        <v>18</v>
      </c>
      <c r="C18" s="10" t="n">
        <v>0</v>
      </c>
      <c r="D18" s="8"/>
      <c r="E18" s="8"/>
    </row>
    <row r="19" customFormat="false" ht="21.75" hidden="false" customHeight="true" outlineLevel="0" collapsed="false">
      <c r="B19" s="6" t="s">
        <v>19</v>
      </c>
      <c r="C19" s="7" t="n">
        <v>0</v>
      </c>
      <c r="D19" s="8"/>
      <c r="E19" s="8"/>
    </row>
    <row r="20" customFormat="false" ht="21.75" hidden="false" customHeight="true" outlineLevel="0" collapsed="false">
      <c r="B20" s="6" t="s">
        <v>20</v>
      </c>
      <c r="C20" s="10" t="n">
        <v>0</v>
      </c>
      <c r="D20" s="8"/>
      <c r="E20" s="8"/>
    </row>
    <row r="21" customFormat="false" ht="21.75" hidden="false" customHeight="true" outlineLevel="0" collapsed="false">
      <c r="B21" s="6" t="s">
        <v>21</v>
      </c>
      <c r="C21" s="7" t="n">
        <v>0</v>
      </c>
      <c r="D21" s="8"/>
      <c r="E21" s="8"/>
    </row>
    <row r="23" customFormat="false" ht="19.5" hidden="false" customHeight="true" outlineLevel="0" collapsed="false">
      <c r="B23" s="5" t="s">
        <v>22</v>
      </c>
      <c r="C23" s="5"/>
      <c r="D23" s="5"/>
      <c r="E23" s="5"/>
    </row>
    <row r="24" customFormat="false" ht="21.75" hidden="false" customHeight="true" outlineLevel="0" collapsed="false">
      <c r="B24" s="6" t="s">
        <v>23</v>
      </c>
      <c r="C24" s="7" t="n">
        <v>0</v>
      </c>
      <c r="D24" s="7" t="n">
        <v>0</v>
      </c>
      <c r="E24" s="8"/>
    </row>
    <row r="25" customFormat="false" ht="21.75" hidden="false" customHeight="true" outlineLevel="0" collapsed="false">
      <c r="B25" s="6" t="s">
        <v>24</v>
      </c>
      <c r="C25" s="7" t="n">
        <v>0</v>
      </c>
      <c r="D25" s="7" t="n">
        <v>0</v>
      </c>
      <c r="E25" s="8"/>
    </row>
    <row r="26" customFormat="false" ht="21.75" hidden="false" customHeight="true" outlineLevel="0" collapsed="false">
      <c r="B26" s="6" t="s">
        <v>25</v>
      </c>
      <c r="C26" s="7" t="n">
        <v>0</v>
      </c>
      <c r="D26" s="7" t="n">
        <v>0</v>
      </c>
      <c r="E26" s="8"/>
    </row>
    <row r="27" customFormat="false" ht="21.75" hidden="false" customHeight="true" outlineLevel="0" collapsed="false">
      <c r="B27" s="6" t="s">
        <v>26</v>
      </c>
      <c r="C27" s="7" t="n">
        <v>0</v>
      </c>
      <c r="D27" s="7" t="n">
        <v>0</v>
      </c>
      <c r="E27" s="8"/>
    </row>
    <row r="28" customFormat="false" ht="21.75" hidden="false" customHeight="true" outlineLevel="0" collapsed="false">
      <c r="B28" s="6" t="s">
        <v>27</v>
      </c>
      <c r="C28" s="7" t="n">
        <v>0</v>
      </c>
      <c r="D28" s="7" t="n">
        <v>0</v>
      </c>
      <c r="E28" s="8"/>
    </row>
    <row r="29" customFormat="false" ht="21.75" hidden="false" customHeight="true" outlineLevel="0" collapsed="false">
      <c r="B29" s="6" t="s">
        <v>28</v>
      </c>
      <c r="C29" s="9" t="n">
        <v>0</v>
      </c>
      <c r="D29" s="9" t="n">
        <v>0</v>
      </c>
      <c r="E29" s="8"/>
    </row>
    <row r="30" customFormat="false" ht="21.75" hidden="false" customHeight="true" outlineLevel="0" collapsed="false">
      <c r="B30" s="6" t="s">
        <v>29</v>
      </c>
      <c r="C30" s="7" t="n">
        <v>0</v>
      </c>
      <c r="D30" s="7" t="n">
        <v>0</v>
      </c>
      <c r="E30" s="8"/>
    </row>
    <row r="32" customFormat="false" ht="19.5" hidden="false" customHeight="true" outlineLevel="0" collapsed="false">
      <c r="B32" s="5" t="s">
        <v>30</v>
      </c>
      <c r="C32" s="5"/>
      <c r="D32" s="5"/>
      <c r="E32" s="5"/>
    </row>
    <row r="33" customFormat="false" ht="21.75" hidden="false" customHeight="true" outlineLevel="0" collapsed="false">
      <c r="B33" s="6" t="s">
        <v>31</v>
      </c>
      <c r="C33" s="10" t="n">
        <v>0</v>
      </c>
      <c r="D33" s="8"/>
      <c r="E33" s="8"/>
    </row>
    <row r="34" customFormat="false" ht="21.75" hidden="false" customHeight="true" outlineLevel="0" collapsed="false">
      <c r="B34" s="6" t="s">
        <v>32</v>
      </c>
      <c r="C34" s="10" t="n">
        <v>0</v>
      </c>
      <c r="D34" s="8"/>
      <c r="E34" s="8"/>
    </row>
    <row r="35" customFormat="false" ht="21.75" hidden="false" customHeight="true" outlineLevel="0" collapsed="false">
      <c r="B35" s="6" t="s">
        <v>33</v>
      </c>
      <c r="C35" s="10" t="n">
        <v>0</v>
      </c>
      <c r="D35" s="8"/>
      <c r="E35" s="8"/>
    </row>
    <row r="36" customFormat="false" ht="21.75" hidden="false" customHeight="true" outlineLevel="0" collapsed="false">
      <c r="B36" s="11" t="s">
        <v>34</v>
      </c>
      <c r="C36" s="12" t="n">
        <f aca="false">IFERROR(C33+C34-C35,0)</f>
        <v>0</v>
      </c>
      <c r="D36" s="8"/>
      <c r="E36" s="8"/>
    </row>
    <row r="37" customFormat="false" ht="21.75" hidden="false" customHeight="true" outlineLevel="0" collapsed="false">
      <c r="B37" s="6" t="s">
        <v>35</v>
      </c>
      <c r="C37" s="10" t="n">
        <v>0</v>
      </c>
      <c r="D37" s="8"/>
      <c r="E37" s="8"/>
    </row>
  </sheetData>
  <mergeCells count="6">
    <mergeCell ref="B1:E1"/>
    <mergeCell ref="B2:E2"/>
    <mergeCell ref="B5:E5"/>
    <mergeCell ref="B14:E14"/>
    <mergeCell ref="B23:E23"/>
    <mergeCell ref="B32:E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3"/>
  </cols>
  <sheetData>
    <row r="1" customFormat="false" ht="30" hidden="false" customHeight="true" outlineLevel="0" collapsed="false">
      <c r="A1" s="1"/>
      <c r="B1" s="2" t="s">
        <v>36</v>
      </c>
      <c r="C1" s="2"/>
      <c r="D1" s="2"/>
      <c r="E1" s="2"/>
      <c r="F1" s="1"/>
    </row>
    <row r="2" customFormat="false" ht="15" hidden="false" customHeight="false" outlineLevel="0" collapsed="false">
      <c r="B2" s="3" t="s">
        <v>37</v>
      </c>
      <c r="C2" s="3"/>
      <c r="D2" s="3"/>
      <c r="E2" s="3"/>
    </row>
    <row r="4" customFormat="false" ht="19.5" hidden="false" customHeight="true" outlineLevel="0" collapsed="false">
      <c r="B4" s="5" t="s">
        <v>38</v>
      </c>
      <c r="C4" s="5"/>
      <c r="D4" s="5"/>
      <c r="E4" s="5"/>
    </row>
    <row r="5" customFormat="false" ht="21.75" hidden="false" customHeight="true" outlineLevel="0" collapsed="false">
      <c r="B5" s="4" t="s">
        <v>2</v>
      </c>
      <c r="C5" s="4" t="s">
        <v>39</v>
      </c>
      <c r="D5" s="4" t="s">
        <v>40</v>
      </c>
      <c r="E5" s="4" t="s">
        <v>41</v>
      </c>
    </row>
    <row r="6" customFormat="false" ht="24" hidden="false" customHeight="true" outlineLevel="0" collapsed="false">
      <c r="B6" s="11" t="s">
        <v>42</v>
      </c>
      <c r="C6" s="13" t="n">
        <f aca="false">'Data Entry'!C6</f>
        <v>0</v>
      </c>
      <c r="D6" s="14" t="n">
        <f aca="false">'Data Entry'!D6</f>
        <v>0</v>
      </c>
      <c r="E6" s="15" t="str">
        <f aca="false">IFERROR(IF('Data Entry'!C6&lt;0.15,"🟢 &lt;15% — Diversified",IF('Data Entry'!C6&lt;0.25,"🟡 15–25% — Monitor","🔴 &gt;25% — Dangerous concentration")),"-")</f>
        <v>🟢 &lt;15% — Diversified</v>
      </c>
    </row>
    <row r="7" customFormat="false" ht="24" hidden="false" customHeight="true" outlineLevel="0" collapsed="false">
      <c r="B7" s="11" t="s">
        <v>43</v>
      </c>
      <c r="C7" s="13" t="n">
        <f aca="false">'Data Entry'!C8</f>
        <v>0</v>
      </c>
      <c r="D7" s="14" t="n">
        <f aca="false">'Data Entry'!D8</f>
        <v>0</v>
      </c>
      <c r="E7" s="15" t="str">
        <f aca="false">IFERROR(IF('Data Entry'!C8&lt;0.4,"🟢 &lt;40%","🔴 &gt;40% — High concentration risk"),"-")</f>
        <v>🟢 &lt;40%</v>
      </c>
    </row>
    <row r="8" customFormat="false" ht="24" hidden="false" customHeight="true" outlineLevel="0" collapsed="false">
      <c r="B8" s="11" t="s">
        <v>44</v>
      </c>
      <c r="C8" s="13" t="n">
        <f aca="false">'Data Entry'!C15</f>
        <v>0</v>
      </c>
      <c r="D8" s="14" t="n">
        <f aca="false">'Data Entry'!C16</f>
        <v>0</v>
      </c>
      <c r="E8" s="15" t="str">
        <f aca="false">IFERROR(IF('Data Entry'!C15&gt;=0.7,"🟢 &gt;70% Recurring",IF('Data Entry'!C15&gt;=0.5,"🟡 50–70%","🔴 &lt;50% — Revenue at risk")),"-")</f>
        <v>🔴 &lt;50% — Revenue at risk</v>
      </c>
    </row>
    <row r="9" customFormat="false" ht="24" hidden="false" customHeight="true" outlineLevel="0" collapsed="false">
      <c r="B9" s="11" t="s">
        <v>45</v>
      </c>
      <c r="C9" s="13" t="n">
        <f aca="false">'Data Entry'!C27</f>
        <v>0</v>
      </c>
      <c r="D9" s="14" t="n">
        <f aca="false">'Data Entry'!D27</f>
        <v>0</v>
      </c>
      <c r="E9" s="15" t="str">
        <f aca="false">IFERROR(IF('Data Entry'!C27&gt;=1.1,"🟢 &gt;110% Expanding",IF('Data Entry'!C27&gt;=0.9,"🟡 90–110% Stable","🔴 &lt;90% Shrinking")),"-")</f>
        <v>🔴 &lt;90% Shrinking</v>
      </c>
    </row>
    <row r="10" customFormat="false" ht="24" hidden="false" customHeight="true" outlineLevel="0" collapsed="false">
      <c r="B10" s="11" t="s">
        <v>46</v>
      </c>
      <c r="C10" s="13" t="n">
        <f aca="false">'Data Entry'!C28</f>
        <v>0</v>
      </c>
      <c r="D10" s="14" t="n">
        <f aca="false">'Data Entry'!D28</f>
        <v>0</v>
      </c>
      <c r="E10" s="15" t="str">
        <f aca="false">IFERROR(IF('Data Entry'!C28&lt;=0.05,"🟢 ≤5% — Excellent",IF('Data Entry'!C28&lt;=0.15,"🟡 5–15%","🔴 &gt;15% — Critical")),"-")</f>
        <v>🟢 ≤5% — Excellent</v>
      </c>
    </row>
    <row r="11" customFormat="false" ht="24" hidden="false" customHeight="true" outlineLevel="0" collapsed="false">
      <c r="B11" s="11" t="s">
        <v>47</v>
      </c>
      <c r="C11" s="13" t="n">
        <f aca="false">'Data Entry'!C25</f>
        <v>0</v>
      </c>
      <c r="D11" s="14" t="n">
        <f aca="false">'Data Entry'!D25</f>
        <v>0</v>
      </c>
      <c r="E11" s="15" t="str">
        <f aca="false">IFERROR(IF('Data Entry'!C25&gt;=0.8,"🟢 ≥80%",IF('Data Entry'!C25&gt;=0.6,"🟡 60–80%","🔴 &lt;60% — High churn")),"-")</f>
        <v>🔴 &lt;60% — High churn</v>
      </c>
    </row>
    <row r="12" customFormat="false" ht="24" hidden="false" customHeight="true" outlineLevel="0" collapsed="false">
      <c r="B12" s="11" t="s">
        <v>48</v>
      </c>
      <c r="C12" s="16" t="n">
        <f aca="false">'Data Entry'!C36</f>
        <v>0</v>
      </c>
      <c r="D12" s="8"/>
      <c r="E12" s="15" t="str">
        <f aca="false">IFERROR(IF('Data Entry'!C36&gt;0,"🟢 Positive net ARR growth","🔴 ARR declining"),"-")</f>
        <v>🔴 ARR declining</v>
      </c>
    </row>
    <row r="14" customFormat="false" ht="19.5" hidden="false" customHeight="true" outlineLevel="0" collapsed="false">
      <c r="B14" s="5" t="s">
        <v>49</v>
      </c>
      <c r="C14" s="5"/>
      <c r="D14" s="5"/>
      <c r="E14" s="5"/>
    </row>
    <row r="15" customFormat="false" ht="36" hidden="false" customHeight="true" outlineLevel="0" collapsed="false">
      <c r="B15" s="17" t="s">
        <v>50</v>
      </c>
      <c r="C15" s="17"/>
      <c r="D15" s="17"/>
      <c r="E15" s="17"/>
    </row>
    <row r="16" customFormat="false" ht="36" hidden="false" customHeight="true" outlineLevel="0" collapsed="false">
      <c r="B16" s="17" t="s">
        <v>51</v>
      </c>
      <c r="C16" s="17"/>
      <c r="D16" s="17"/>
      <c r="E16" s="17"/>
    </row>
    <row r="17" customFormat="false" ht="36" hidden="false" customHeight="true" outlineLevel="0" collapsed="false">
      <c r="B17" s="17" t="s">
        <v>52</v>
      </c>
      <c r="C17" s="17"/>
      <c r="D17" s="17"/>
      <c r="E17" s="17"/>
    </row>
  </sheetData>
  <mergeCells count="7">
    <mergeCell ref="B1:E1"/>
    <mergeCell ref="B2:E2"/>
    <mergeCell ref="B4:E4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1C1C"/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3"/>
  </cols>
  <sheetData>
    <row r="1" customFormat="false" ht="30" hidden="false" customHeight="true" outlineLevel="0" collapsed="false">
      <c r="A1" s="1"/>
      <c r="B1" s="2" t="s">
        <v>53</v>
      </c>
      <c r="C1" s="2"/>
      <c r="D1" s="2"/>
      <c r="E1" s="1"/>
    </row>
    <row r="2" customFormat="false" ht="15" hidden="false" customHeight="false" outlineLevel="0" collapsed="false">
      <c r="B2" s="3" t="s">
        <v>54</v>
      </c>
      <c r="C2" s="3"/>
      <c r="D2" s="3"/>
    </row>
    <row r="4" customFormat="false" ht="19.5" hidden="false" customHeight="true" outlineLevel="0" collapsed="false">
      <c r="B4" s="5" t="s">
        <v>38</v>
      </c>
      <c r="C4" s="5"/>
      <c r="D4" s="5"/>
    </row>
    <row r="5" customFormat="false" ht="21.75" hidden="false" customHeight="true" outlineLevel="0" collapsed="false">
      <c r="B5" s="4" t="s">
        <v>2</v>
      </c>
      <c r="C5" s="4" t="s">
        <v>39</v>
      </c>
      <c r="D5" s="4" t="s">
        <v>55</v>
      </c>
    </row>
    <row r="6" customFormat="false" ht="25.5" hidden="false" customHeight="true" outlineLevel="0" collapsed="false">
      <c r="B6" s="11" t="s">
        <v>42</v>
      </c>
      <c r="C6" s="13" t="n">
        <f aca="false">'Data Entry'!C6</f>
        <v>0</v>
      </c>
      <c r="D6" s="15" t="str">
        <f aca="false">IFERROR(IF('Data Entry'!C6&lt;0.15,"🟢 &lt;15% — Diversified",IF('Data Entry'!C6&lt;0.25,"🟡 15–25% — Monitor","🔴 &gt;25% — Dangerous concentration")),"-")</f>
        <v>🟢 &lt;15% — Diversified</v>
      </c>
    </row>
    <row r="7" customFormat="false" ht="25.5" hidden="false" customHeight="true" outlineLevel="0" collapsed="false">
      <c r="B7" s="11" t="s">
        <v>43</v>
      </c>
      <c r="C7" s="13" t="n">
        <f aca="false">'Data Entry'!C8</f>
        <v>0</v>
      </c>
      <c r="D7" s="15" t="str">
        <f aca="false">IFERROR(IF('Data Entry'!C8&lt;0.4,"🟢 &lt;40%","🔴 &gt;40% — High concentration risk"),"-")</f>
        <v>🟢 &lt;40%</v>
      </c>
    </row>
    <row r="8" customFormat="false" ht="25.5" hidden="false" customHeight="true" outlineLevel="0" collapsed="false">
      <c r="B8" s="11" t="s">
        <v>44</v>
      </c>
      <c r="C8" s="13" t="n">
        <f aca="false">'Data Entry'!C15</f>
        <v>0</v>
      </c>
      <c r="D8" s="15" t="str">
        <f aca="false">IFERROR(IF('Data Entry'!C15&gt;=0.7,"🟢 &gt;70% Recurring",IF('Data Entry'!C15&gt;=0.5,"🟡 50–70%","🔴 &lt;50% — Revenue at risk")),"-")</f>
        <v>🔴 &lt;50% — Revenue at risk</v>
      </c>
    </row>
    <row r="9" customFormat="false" ht="25.5" hidden="false" customHeight="true" outlineLevel="0" collapsed="false">
      <c r="B9" s="11" t="s">
        <v>45</v>
      </c>
      <c r="C9" s="13" t="n">
        <f aca="false">'Data Entry'!C27</f>
        <v>0</v>
      </c>
      <c r="D9" s="15" t="str">
        <f aca="false">IFERROR(IF('Data Entry'!C27&gt;=1.1,"🟢 &gt;110% Expanding",IF('Data Entry'!C27&gt;=0.9,"🟡 90–110% Stable","🔴 &lt;90% Shrinking")),"-")</f>
        <v>🔴 &lt;90% Shrinking</v>
      </c>
    </row>
    <row r="10" customFormat="false" ht="25.5" hidden="false" customHeight="true" outlineLevel="0" collapsed="false">
      <c r="B10" s="11" t="s">
        <v>46</v>
      </c>
      <c r="C10" s="13" t="n">
        <f aca="false">'Data Entry'!C28</f>
        <v>0</v>
      </c>
      <c r="D10" s="15" t="str">
        <f aca="false">IFERROR(IF('Data Entry'!C28&lt;=0.05,"🟢 ≤5% — Excellent",IF('Data Entry'!C28&lt;=0.15,"🟡 5–15%","🔴 &gt;15% — Critical")),"-")</f>
        <v>🟢 ≤5% — Excellent</v>
      </c>
    </row>
    <row r="11" customFormat="false" ht="25.5" hidden="false" customHeight="true" outlineLevel="0" collapsed="false">
      <c r="B11" s="11" t="s">
        <v>47</v>
      </c>
      <c r="C11" s="13" t="n">
        <f aca="false">'Data Entry'!C25</f>
        <v>0</v>
      </c>
      <c r="D11" s="15" t="str">
        <f aca="false">IFERROR(IF('Data Entry'!C25&gt;=0.8,"🟢 ≥80%",IF('Data Entry'!C25&gt;=0.6,"🟡 60–80%","🔴 &lt;60% — High churn")),"-")</f>
        <v>🔴 &lt;60% — High churn</v>
      </c>
    </row>
    <row r="12" customFormat="false" ht="25.5" hidden="false" customHeight="true" outlineLevel="0" collapsed="false">
      <c r="B12" s="11" t="s">
        <v>48</v>
      </c>
      <c r="C12" s="16" t="n">
        <f aca="false">'Data Entry'!C36</f>
        <v>0</v>
      </c>
      <c r="D12" s="15" t="str">
        <f aca="false">IFERROR(IF('Data Entry'!C36&gt;0,"🟢 Positive net ARR growth","🔴 ARR declining"),"-")</f>
        <v>🔴 ARR declining</v>
      </c>
    </row>
    <row r="14" customFormat="false" ht="19.5" hidden="false" customHeight="true" outlineLevel="0" collapsed="false">
      <c r="B14" s="5" t="s">
        <v>56</v>
      </c>
      <c r="C14" s="5"/>
      <c r="D14" s="5"/>
    </row>
    <row r="15" customFormat="false" ht="31.5" hidden="false" customHeight="true" outlineLevel="0" collapsed="false">
      <c r="B15" s="18"/>
      <c r="C15" s="18"/>
      <c r="D15" s="18"/>
    </row>
    <row r="16" customFormat="false" ht="31.5" hidden="false" customHeight="true" outlineLevel="0" collapsed="false">
      <c r="B16" s="18"/>
      <c r="C16" s="18"/>
      <c r="D16" s="18"/>
    </row>
    <row r="17" customFormat="false" ht="31.5" hidden="false" customHeight="true" outlineLevel="0" collapsed="false">
      <c r="B17" s="18"/>
      <c r="C17" s="18"/>
      <c r="D17" s="18"/>
    </row>
    <row r="18" customFormat="false" ht="31.5" hidden="false" customHeight="true" outlineLevel="0" collapsed="false">
      <c r="B18" s="18"/>
      <c r="C18" s="18"/>
      <c r="D18" s="18"/>
    </row>
    <row r="19" customFormat="false" ht="31.5" hidden="false" customHeight="true" outlineLevel="0" collapsed="false">
      <c r="B19" s="18"/>
      <c r="C19" s="18"/>
      <c r="D19" s="18"/>
    </row>
    <row r="20" customFormat="false" ht="31.5" hidden="false" customHeight="true" outlineLevel="0" collapsed="false">
      <c r="B20" s="18"/>
      <c r="C20" s="18"/>
      <c r="D20" s="18"/>
    </row>
    <row r="21" customFormat="false" ht="31.5" hidden="false" customHeight="true" outlineLevel="0" collapsed="false">
      <c r="B21" s="18"/>
      <c r="C21" s="18"/>
      <c r="D21" s="18"/>
    </row>
    <row r="22" customFormat="false" ht="31.5" hidden="false" customHeight="true" outlineLevel="0" collapsed="false">
      <c r="B22" s="18"/>
      <c r="C22" s="18"/>
      <c r="D22" s="18"/>
    </row>
  </sheetData>
  <mergeCells count="12">
    <mergeCell ref="B1:D1"/>
    <mergeCell ref="B2:D2"/>
    <mergeCell ref="B4:D4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2026-03-05T18:49:52Z</dcterms:created>
  <dc:creator>openpyxl</dc:creator>
  <dc:description/>
  <dc:language>en-US</dc:language>
  <cp:lastModifiedBy/>
  <dcterms:modified xsi:type="dcterms:W3CDTF">2026-03-05T18:49:52Z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