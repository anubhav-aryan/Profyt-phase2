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Smeer-30th Oct'23\Personal-30th Oct'23\Fractional CFO\Profit Diagnostic\Profyt - Phase 2 - Financial Diagnostics\4 Files for Development\"/>
    </mc:Choice>
  </mc:AlternateContent>
  <xr:revisionPtr revIDLastSave="0" documentId="11_EBDA04D7C9BED736BE3258C2E36800694198C63F" xr6:coauthVersionLast="47" xr6:coauthVersionMax="47" xr10:uidLastSave="{00000000-0000-0000-0000-000000000000}"/>
  <bookViews>
    <workbookView xWindow="-98" yWindow="-98" windowWidth="22695" windowHeight="14476" tabRatio="500" xr2:uid="{00000000-000D-0000-FFFF-FFFF00000000}"/>
  </bookViews>
  <sheets>
    <sheet name="Data Entry" sheetId="1" r:id="rId1"/>
    <sheet name="Board Model" sheetId="2" r:id="rId2"/>
    <sheet name="MoM Comparison" sheetId="3" r:id="rId3"/>
    <sheet name="Board Pack" sheetId="4" r:id="rId4"/>
    <sheet name="Print Repor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3" i="5" l="1"/>
  <c r="C13" i="5"/>
  <c r="E13" i="5" s="1"/>
  <c r="D12" i="5"/>
  <c r="C12" i="5"/>
  <c r="E12" i="5" s="1"/>
  <c r="D11" i="5"/>
  <c r="C11" i="5"/>
  <c r="E11" i="5" s="1"/>
  <c r="D10" i="5"/>
  <c r="C10" i="5"/>
  <c r="E10" i="5" s="1"/>
  <c r="D9" i="5"/>
  <c r="C9" i="5"/>
  <c r="E9" i="5" s="1"/>
  <c r="D8" i="5"/>
  <c r="C8" i="5"/>
  <c r="E8" i="5" s="1"/>
  <c r="D7" i="5"/>
  <c r="C7" i="5"/>
  <c r="E7" i="5" s="1"/>
  <c r="D6" i="5"/>
  <c r="C6" i="5"/>
  <c r="E6" i="5" s="1"/>
  <c r="D13" i="4"/>
  <c r="C13" i="4"/>
  <c r="F13" i="4" s="1"/>
  <c r="D12" i="4"/>
  <c r="C12" i="4"/>
  <c r="F12" i="4" s="1"/>
  <c r="D11" i="4"/>
  <c r="C11" i="4"/>
  <c r="E11" i="4" s="1"/>
  <c r="D10" i="4"/>
  <c r="C10" i="4"/>
  <c r="F10" i="4" s="1"/>
  <c r="D9" i="4"/>
  <c r="C9" i="4"/>
  <c r="F9" i="4" s="1"/>
  <c r="D8" i="4"/>
  <c r="C8" i="4"/>
  <c r="E8" i="4" s="1"/>
  <c r="D7" i="4"/>
  <c r="C7" i="4"/>
  <c r="F7" i="4" s="1"/>
  <c r="D6" i="4"/>
  <c r="C6" i="4"/>
  <c r="F6" i="4" s="1"/>
  <c r="D15" i="3"/>
  <c r="G15" i="3" s="1"/>
  <c r="C15" i="3"/>
  <c r="D14" i="3"/>
  <c r="C14" i="3"/>
  <c r="G14" i="3" s="1"/>
  <c r="D13" i="3"/>
  <c r="C13" i="3"/>
  <c r="F13" i="3" s="1"/>
  <c r="G12" i="3"/>
  <c r="D12" i="3"/>
  <c r="C12" i="3"/>
  <c r="F12" i="3" s="1"/>
  <c r="D11" i="3"/>
  <c r="C11" i="3"/>
  <c r="G11" i="3" s="1"/>
  <c r="G10" i="3"/>
  <c r="F10" i="3"/>
  <c r="E10" i="3"/>
  <c r="D10" i="3"/>
  <c r="C10" i="3"/>
  <c r="F9" i="3"/>
  <c r="D9" i="3"/>
  <c r="C9" i="3"/>
  <c r="G9" i="3" s="1"/>
  <c r="D8" i="3"/>
  <c r="C8" i="3"/>
  <c r="F8" i="3" s="1"/>
  <c r="D7" i="3"/>
  <c r="C7" i="3"/>
  <c r="G7" i="3" s="1"/>
  <c r="E6" i="3"/>
  <c r="D6" i="3"/>
  <c r="C6" i="3"/>
  <c r="G6" i="3" s="1"/>
  <c r="G5" i="3"/>
  <c r="F5" i="3"/>
  <c r="D5" i="3"/>
  <c r="C5" i="3"/>
  <c r="E5" i="3" s="1"/>
  <c r="D4" i="3"/>
  <c r="C4" i="3"/>
  <c r="G4" i="3" s="1"/>
  <c r="N23" i="2"/>
  <c r="M23" i="2"/>
  <c r="L23" i="2"/>
  <c r="K23" i="2"/>
  <c r="J23" i="2"/>
  <c r="I23" i="2"/>
  <c r="H23" i="2"/>
  <c r="G23" i="2"/>
  <c r="F23" i="2"/>
  <c r="E23" i="2"/>
  <c r="D23" i="2"/>
  <c r="C23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N11" i="2"/>
  <c r="M11" i="2"/>
  <c r="L11" i="2"/>
  <c r="K11" i="2"/>
  <c r="J11" i="2"/>
  <c r="I11" i="2"/>
  <c r="H11" i="2"/>
  <c r="G11" i="2"/>
  <c r="F11" i="2"/>
  <c r="E11" i="2"/>
  <c r="D11" i="2"/>
  <c r="C11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O8" i="2"/>
  <c r="N8" i="2"/>
  <c r="M8" i="2"/>
  <c r="L8" i="2"/>
  <c r="K8" i="2"/>
  <c r="J8" i="2"/>
  <c r="I8" i="2"/>
  <c r="H8" i="2"/>
  <c r="G8" i="2"/>
  <c r="F8" i="2"/>
  <c r="E8" i="2"/>
  <c r="D8" i="2"/>
  <c r="C8" i="2"/>
  <c r="O7" i="2"/>
  <c r="N7" i="2"/>
  <c r="M7" i="2"/>
  <c r="L7" i="2"/>
  <c r="K7" i="2"/>
  <c r="J7" i="2"/>
  <c r="I7" i="2"/>
  <c r="H7" i="2"/>
  <c r="G7" i="2"/>
  <c r="F7" i="2"/>
  <c r="E7" i="2"/>
  <c r="D7" i="2"/>
  <c r="C7" i="2"/>
  <c r="O6" i="2"/>
  <c r="N6" i="2"/>
  <c r="M6" i="2"/>
  <c r="L6" i="2"/>
  <c r="K6" i="2"/>
  <c r="J6" i="2"/>
  <c r="I6" i="2"/>
  <c r="H6" i="2"/>
  <c r="G6" i="2"/>
  <c r="F6" i="2"/>
  <c r="E6" i="2"/>
  <c r="D6" i="2"/>
  <c r="C6" i="2"/>
  <c r="O5" i="2"/>
  <c r="N5" i="2"/>
  <c r="M5" i="2"/>
  <c r="L5" i="2"/>
  <c r="K5" i="2"/>
  <c r="J5" i="2"/>
  <c r="I5" i="2"/>
  <c r="H5" i="2"/>
  <c r="G5" i="2"/>
  <c r="F5" i="2"/>
  <c r="E5" i="2"/>
  <c r="D5" i="2"/>
  <c r="C5" i="2"/>
  <c r="F11" i="4" l="1"/>
  <c r="G8" i="3"/>
  <c r="F6" i="3"/>
  <c r="E11" i="3"/>
  <c r="G13" i="3"/>
  <c r="E15" i="3"/>
  <c r="F15" i="3"/>
  <c r="E13" i="3"/>
  <c r="E4" i="3"/>
  <c r="F11" i="3"/>
  <c r="E6" i="4"/>
  <c r="E9" i="4"/>
  <c r="E12" i="4"/>
  <c r="F4" i="3"/>
  <c r="E9" i="3"/>
  <c r="F8" i="4"/>
  <c r="E14" i="3"/>
  <c r="E7" i="3"/>
  <c r="F14" i="3"/>
  <c r="E8" i="3"/>
  <c r="F7" i="3"/>
  <c r="E12" i="3"/>
  <c r="E7" i="4"/>
  <c r="E10" i="4"/>
  <c r="E13" i="4"/>
</calcChain>
</file>

<file path=xl/sharedStrings.xml><?xml version="1.0" encoding="utf-8"?>
<sst xmlns="http://schemas.openxmlformats.org/spreadsheetml/2006/main" count="167" uniqueCount="97">
  <si>
    <t>Board Pack — Analyst Data Entry  (12 Months)</t>
  </si>
  <si>
    <t>Paste monthly KPI values from client files. All ₹ Crore unless stated. Month 12 = current month.</t>
  </si>
  <si>
    <t>KPI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</si>
  <si>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</si>
  <si>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</si>
  <si>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</si>
  <si>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</si>
  <si>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</si>
  <si>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</si>
  <si>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</si>
  <si>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</si>
  <si>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</si>
  <si>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</si>
  <si>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</si>
  <si>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</si>
  <si>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GROWTH &amp; REVENUE</t>
  </si>
  <si>
    <t xml:space="preserve">  MRR (₹ Cr)</t>
  </si>
  <si>
    <t xml:space="preserve">  Net New ARR (₹ Cr)</t>
  </si>
  <si>
    <t xml:space="preserve">  YoY Growth %</t>
  </si>
  <si>
    <t xml:space="preserve">  MoM Growth %</t>
  </si>
  <si>
    <t>CUSTOMERS</t>
  </si>
  <si>
    <t xml:space="preserve">  Total Customers</t>
  </si>
  <si>
    <t xml:space="preserve">  New Customers</t>
  </si>
  <si>
    <t xml:space="preserve">  Churned Customers</t>
  </si>
  <si>
    <t xml:space="preserve">  NRR %</t>
  </si>
  <si>
    <t xml:space="preserve">  Logo Churn %</t>
  </si>
  <si>
    <t>UNIT ECONOMICS</t>
  </si>
  <si>
    <t xml:space="preserve">  Blended CAC (₹)</t>
  </si>
  <si>
    <t xml:space="preserve">  CAC Payback (months)</t>
  </si>
  <si>
    <t xml:space="preserve">  LTV:CAC</t>
  </si>
  <si>
    <t xml:space="preserve">  Gross Margin %</t>
  </si>
  <si>
    <t>PIPELINE</t>
  </si>
  <si>
    <t xml:space="preserve">  SQLs</t>
  </si>
  <si>
    <t xml:space="preserve">  Weighted Pipeline (₹ Cr)</t>
  </si>
  <si>
    <t xml:space="preserve">  Deals Won</t>
  </si>
  <si>
    <t xml:space="preserve">  Win Rate %</t>
  </si>
  <si>
    <t>FINANCIALS</t>
  </si>
  <si>
    <t xml:space="preserve">  Revenue (₹ Cr)</t>
  </si>
  <si>
    <t xml:space="preserve">  COGS (₹ Cr)</t>
  </si>
  <si>
    <t xml:space="preserve">  Total OPEX (₹ Cr)</t>
  </si>
  <si>
    <t xml:space="preserve">  EBITDA (₹ Cr)</t>
  </si>
  <si>
    <t xml:space="preserve">  EBITDA Margin %</t>
  </si>
  <si>
    <t xml:space="preserve">  Net Burn (₹ Cr)</t>
  </si>
  <si>
    <t xml:space="preserve">  Cash Balance (₹ Cr)</t>
  </si>
  <si>
    <t>OPERATIONAL</t>
  </si>
  <si>
    <t xml:space="preserve">  Headcount</t>
  </si>
  <si>
    <t xml:space="preserve">  NPS Score</t>
  </si>
  <si>
    <t xml:space="preserve">  Product Uptime %</t>
  </si>
  <si>
    <t>MONTHLY TARGETS / PLAN  (one value per KPI)</t>
  </si>
  <si>
    <t>Monthly Target</t>
  </si>
  <si>
    <t>Annual Target</t>
  </si>
  <si>
    <t xml:space="preserve">  Revenue Target (₹ Cr)</t>
  </si>
  <si>
    <t xml:space="preserve">  MRR Target (₹ Cr)</t>
  </si>
  <si>
    <t xml:space="preserve">  Net New ARR Target (₹ Cr)</t>
  </si>
  <si>
    <t xml:space="preserve">  New Customer Target</t>
  </si>
  <si>
    <t xml:space="preserve">  EBITDA Target (₹ Cr)</t>
  </si>
  <si>
    <t xml:space="preserve">  Headcount Target</t>
  </si>
  <si>
    <t>Board Model — 12-Month Trend with RAG Flags</t>
  </si>
  <si>
    <t>Full 12-month history with auto-RAG status. Red = below target or threshold. Amber = at risk. Green = on track.</t>
  </si>
  <si>
    <t>Latest RAG</t>
  </si>
  <si>
    <t>REVENUE &amp; ARR</t>
  </si>
  <si>
    <t>CUSTOMERS &amp; RETENTION</t>
  </si>
  <si>
    <t>PIPELINE &amp; SALES</t>
  </si>
  <si>
    <t>Month-on-Month Comparison — Board View</t>
  </si>
  <si>
    <t>Auto-populated from Data Entry. Current month vs prior month with variance and RAG flag.</t>
  </si>
  <si>
    <t>Current Month</t>
  </si>
  <si>
    <t>Prior Month</t>
  </si>
  <si>
    <t>Change (₹/pts)</t>
  </si>
  <si>
    <t>Change %</t>
  </si>
  <si>
    <t>Status</t>
  </si>
  <si>
    <t>PROFYT  ·  Board Reporting Pack  —  [Month Year]</t>
  </si>
  <si>
    <t>Board-ready. Confidential. Replace [Month Year] in cell B1 with reporting period.</t>
  </si>
  <si>
    <t>1. EXECUTIVE SUMMARY — KPI SCORECARD</t>
  </si>
  <si>
    <t>This Month</t>
  </si>
  <si>
    <t>vs Prior</t>
  </si>
  <si>
    <t xml:space="preserve">  Net Monthly Burn (₹ Cr)</t>
  </si>
  <si>
    <t xml:space="preserve">  Cash Runway (months)</t>
  </si>
  <si>
    <t>2. FINANCIAL HIGHLIGHTS</t>
  </si>
  <si>
    <t>Analyst: Revenue narrative — actual vs plan, key driver of over/underperformance, outlook for next month.</t>
  </si>
  <si>
    <t>Analyst: Burn and cash narrative — current runway, any changes to burn rate, and projected cash position in 3 and 6 months.</t>
  </si>
  <si>
    <t>3. GROWTH &amp; CUSTOMER METRICS</t>
  </si>
  <si>
    <t>Analyst: Customer growth narrative — new logos, churn, NRR trend, and any at-risk accounts flagged by the client.</t>
  </si>
  <si>
    <t>Analyst: Pipeline narrative — weighted pipeline health, coverage ratio, and any pipeline risks or acceleration opportunities.</t>
  </si>
  <si>
    <t>4. OKR PROGRESS</t>
  </si>
  <si>
    <t>Analyst: Paste OKR summary from client OKR tab — highlight top 2 wins and top 1 concern.</t>
  </si>
  <si>
    <t>5. KEY RISKS &amp; BOARD DECISIONS REQUIRED</t>
  </si>
  <si>
    <t>Analyst: Summarise top 3 risks (from Risks tab) and any board decisions needed this session.</t>
  </si>
  <si>
    <t>6. LOOKING AHEAD — NEXT 30/60/90 DAYS</t>
  </si>
  <si>
    <t>Next 30 Days</t>
  </si>
  <si>
    <t>Key priorities, hires, product launches, customer milestones</t>
  </si>
  <si>
    <t>60–90 Days</t>
  </si>
  <si>
    <t>Strategic decisions, funding milestones, expansion triggers</t>
  </si>
  <si>
    <t>PROFYT  ·  Confidential  ·  Prepared for Board Use Only  ·  Do not distribute</t>
  </si>
  <si>
    <t>PROFYT  ·  Board Report — Month Summary</t>
  </si>
  <si>
    <t>Confidential  ·  Board use only</t>
  </si>
  <si>
    <t>KPI SCORECARD</t>
  </si>
  <si>
    <t>ANALYST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</si>
</sst>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₹#,##0"/>
    <numFmt numFmtId="166" formatCode="0.0\×"/>
  </numFmts>
  <fonts count="1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i/>
      <sz val="9"/>
      <color rgb="FF9A9A9A"/>
      <name val="Arial"/>
      <charset val="1"/>
    </font>
    <font>
      <b/>
      <sz val="9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2D2D2D"/>
      <name val="Arial"/>
      <charset val="1"/>
    </font>
    <font>
      <sz val="11"/>
      <color rgb="FF0000CC"/>
      <name val="Arial"/>
      <charset val="1"/>
    </font>
    <font>
      <b/>
      <sz val="10"/>
      <color rgb="FF2D2D2D"/>
      <name val="Arial"/>
      <charset val="1"/>
    </font>
    <font>
      <sz val="10"/>
      <color rgb="FF006600"/>
      <name val="Arial"/>
      <charset val="1"/>
    </font>
    <font>
      <b/>
      <sz val="10"/>
      <color rgb="FF0A0A0A"/>
      <name val="Arial"/>
      <charset val="1"/>
    </font>
    <font>
      <b/>
      <sz val="10"/>
      <color rgb="FF006600"/>
      <name val="Arial"/>
      <charset val="1"/>
    </font>
    <font>
      <sz val="10"/>
      <color rgb="FF0A0A0A"/>
      <name val="Arial"/>
      <charset val="1"/>
    </font>
    <font>
      <i/>
      <sz val="10"/>
      <color rgb="FF1A3A6B"/>
      <name val="Arial"/>
      <charset val="1"/>
    </font>
    <font>
      <i/>
      <sz val="8"/>
      <color rgb="FF9A9A9A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0A0A0A"/>
        <bgColor rgb="FF000000"/>
      </patternFill>
    </fill>
    <fill>
      <patternFill patternType="solid">
        <fgColor rgb="FF2D2D2D"/>
        <bgColor rgb="FF1A1A1A"/>
      </patternFill>
    </fill>
    <fill>
      <patternFill patternType="solid">
        <fgColor rgb="FF1A1A1A"/>
        <bgColor rgb="FF0A0A0A"/>
      </patternFill>
    </fill>
    <fill>
      <patternFill patternType="solid">
        <fgColor rgb="FFFFFF00"/>
        <bgColor rgb="FFFFFF00"/>
      </patternFill>
    </fill>
    <fill>
      <patternFill patternType="solid">
        <fgColor rgb="FFF7F7F7"/>
        <bgColor rgb="FFF0F4FF"/>
      </patternFill>
    </fill>
    <fill>
      <patternFill patternType="solid">
        <fgColor rgb="FFF0F4FF"/>
        <bgColor rgb="FFF7F7F7"/>
      </patternFill>
    </fill>
  </fills>
  <borders count="6">
    <border>
      <left/>
      <right/>
      <top/>
      <bottom/>
      <diagonal/>
    </border>
    <border>
      <left style="thin">
        <color rgb="FF2D2D2D"/>
      </left>
      <right style="thin">
        <color rgb="FF2D2D2D"/>
      </right>
      <top style="thin">
        <color rgb="FF2D2D2D"/>
      </top>
      <bottom style="thin">
        <color rgb="FF2D2D2D"/>
      </bottom>
      <diagonal/>
    </border>
    <border>
      <left style="thin">
        <color rgb="FF1A1A1A"/>
      </left>
      <right style="thin">
        <color rgb="FF1A1A1A"/>
      </right>
      <top style="thin">
        <color rgb="FF1A1A1A"/>
      </top>
      <bottom style="thin">
        <color rgb="FF1A1A1A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1A3A6B"/>
      </left>
      <right style="thin">
        <color rgb="FF1A3A6B"/>
      </right>
      <top style="thin">
        <color rgb="FF1A3A6B"/>
      </top>
      <bottom style="thin">
        <color rgb="FF1A3A6B"/>
      </bottom>
      <diagonal/>
    </border>
    <border>
      <left style="thin">
        <color rgb="FF1A3A6B"/>
      </left>
      <right/>
      <top style="thin">
        <color rgb="FF1A3A6B"/>
      </top>
      <bottom style="thin">
        <color rgb="FF1A3A6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7" borderId="5" xfId="0" applyFill="1" applyBorder="1" applyAlignment="1">
      <alignment horizontal="left" vertical="top" wrapText="1"/>
    </xf>
    <xf numFmtId="0" fontId="13" fillId="0" borderId="0" xfId="0" applyFont="1"/>
    <xf numFmtId="0" fontId="12" fillId="7" borderId="5" xfId="0" applyFont="1" applyFill="1" applyBorder="1" applyAlignment="1">
      <alignment horizontal="left" vertical="center" wrapText="1"/>
    </xf>
    <xf numFmtId="0" fontId="12" fillId="7" borderId="5" xfId="0" applyFont="1" applyFill="1" applyBorder="1" applyAlignment="1">
      <alignment horizontal="left" vertical="top" wrapText="1"/>
    </xf>
    <xf numFmtId="0" fontId="12" fillId="7" borderId="4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3" fillId="3" borderId="1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4" fontId="6" fillId="5" borderId="3" xfId="0" applyNumberFormat="1" applyFont="1" applyFill="1" applyBorder="1" applyAlignment="1">
      <alignment horizontal="right" vertical="center"/>
    </xf>
    <xf numFmtId="164" fontId="6" fillId="5" borderId="3" xfId="0" applyNumberFormat="1" applyFont="1" applyFill="1" applyBorder="1" applyAlignment="1">
      <alignment horizontal="right" vertical="center"/>
    </xf>
    <xf numFmtId="3" fontId="6" fillId="5" borderId="3" xfId="0" applyNumberFormat="1" applyFont="1" applyFill="1" applyBorder="1" applyAlignment="1">
      <alignment horizontal="right" vertical="center"/>
    </xf>
    <xf numFmtId="165" fontId="6" fillId="5" borderId="3" xfId="0" applyNumberFormat="1" applyFont="1" applyFill="1" applyBorder="1" applyAlignment="1">
      <alignment horizontal="right" vertical="center"/>
    </xf>
    <xf numFmtId="166" fontId="6" fillId="5" borderId="3" xfId="0" applyNumberFormat="1" applyFont="1" applyFill="1" applyBorder="1" applyAlignment="1">
      <alignment horizontal="right" vertical="center"/>
    </xf>
    <xf numFmtId="0" fontId="7" fillId="0" borderId="3" xfId="0" applyFont="1" applyBorder="1" applyAlignment="1">
      <alignment horizontal="left" vertical="center"/>
    </xf>
    <xf numFmtId="4" fontId="8" fillId="6" borderId="3" xfId="0" applyNumberFormat="1" applyFont="1" applyFill="1" applyBorder="1" applyAlignment="1">
      <alignment horizontal="right" vertical="center"/>
    </xf>
    <xf numFmtId="0" fontId="9" fillId="6" borderId="3" xfId="0" applyFont="1" applyFill="1" applyBorder="1" applyAlignment="1">
      <alignment horizontal="left" vertical="center" wrapText="1"/>
    </xf>
    <xf numFmtId="164" fontId="8" fillId="6" borderId="3" xfId="0" applyNumberFormat="1" applyFont="1" applyFill="1" applyBorder="1" applyAlignment="1">
      <alignment horizontal="right" vertical="center"/>
    </xf>
    <xf numFmtId="3" fontId="8" fillId="6" borderId="3" xfId="0" applyNumberFormat="1" applyFont="1" applyFill="1" applyBorder="1" applyAlignment="1">
      <alignment horizontal="right" vertical="center"/>
    </xf>
    <xf numFmtId="0" fontId="0" fillId="0" borderId="3" xfId="0" applyBorder="1"/>
    <xf numFmtId="4" fontId="10" fillId="6" borderId="3" xfId="0" applyNumberFormat="1" applyFont="1" applyFill="1" applyBorder="1" applyAlignment="1">
      <alignment horizontal="right" vertical="center"/>
    </xf>
    <xf numFmtId="4" fontId="11" fillId="6" borderId="3" xfId="0" applyNumberFormat="1" applyFont="1" applyFill="1" applyBorder="1" applyAlignment="1">
      <alignment horizontal="right" vertical="center"/>
    </xf>
    <xf numFmtId="164" fontId="11" fillId="6" borderId="3" xfId="0" applyNumberFormat="1" applyFont="1" applyFill="1" applyBorder="1" applyAlignment="1">
      <alignment horizontal="right" vertical="center"/>
    </xf>
    <xf numFmtId="3" fontId="10" fillId="6" borderId="3" xfId="0" applyNumberFormat="1" applyFont="1" applyFill="1" applyBorder="1" applyAlignment="1">
      <alignment horizontal="right" vertical="center"/>
    </xf>
    <xf numFmtId="3" fontId="11" fillId="6" borderId="3" xfId="0" applyNumberFormat="1" applyFont="1" applyFill="1" applyBorder="1" applyAlignment="1">
      <alignment horizontal="right" vertical="center"/>
    </xf>
    <xf numFmtId="164" fontId="10" fillId="6" borderId="3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6600"/>
      <rgbColor rgb="FF000080"/>
      <rgbColor rgb="FF925200"/>
      <rgbColor rgb="FF800080"/>
      <rgbColor rgb="FF1A6B3C"/>
      <rgbColor rgb="FFC0C0C0"/>
      <rgbColor rgb="FF808080"/>
      <rgbColor rgb="FF9999FF"/>
      <rgbColor rgb="FF993366"/>
      <rgbColor rgb="FFF7F7F7"/>
      <rgbColor rgb="FFF0F4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9A9A"/>
      <rgbColor rgb="FF1A3A6B"/>
      <rgbColor rgb="FF339966"/>
      <rgbColor rgb="FF0A0A0A"/>
      <rgbColor rgb="FF1A1A1A"/>
      <rgbColor rgb="FF9B1C1C"/>
      <rgbColor rgb="FF993366"/>
      <rgbColor rgb="FF333399"/>
      <rgbColor rgb="FF2D2D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6B3C"/>
  </sheetPr>
  <dimension ref="A1:O47"/>
  <sheetViews>
    <sheetView showGridLines="0" tabSelected="1" zoomScaleNormal="100" workbookViewId="0">
      <pane xSplit="2" ySplit="4" topLeftCell="C18" activePane="bottomRight" state="frozen"/>
      <selection pane="topRight" activeCell="C1" sqref="C1"/>
      <selection pane="bottomLeft" activeCell="A5" sqref="A5"/>
      <selection pane="bottomRight" activeCell="C36" sqref="C36"/>
    </sheetView>
  </sheetViews>
  <sheetFormatPr defaultColWidth="8.6640625" defaultRowHeight="14.25" x14ac:dyDescent="0.45"/>
  <cols>
    <col min="1" max="1" width="3" customWidth="1"/>
    <col min="2" max="2" width="42" customWidth="1"/>
    <col min="3" max="14" width="10" customWidth="1"/>
    <col min="15" max="15" width="3" customWidth="1"/>
  </cols>
  <sheetData>
    <row r="1" spans="1:15" ht="30" customHeight="1" x14ac:dyDescent="0.45">
      <c r="A1" s="10"/>
      <c r="B1" s="9" t="s">
        <v>0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10"/>
    </row>
    <row r="2" spans="1:15" x14ac:dyDescent="0.45">
      <c r="B2" s="8" t="s">
        <v>1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4" spans="1:15" ht="21.75" customHeight="1" x14ac:dyDescent="0.45">
      <c r="B4" s="11" t="s">
        <v>2</v>
      </c>
      <c r="C4" s="11" t="s">
        <v>3</v>
      </c>
      <c r="D4" s="11" t="s">
        <v>4</v>
      </c>
      <c r="E4" s="11" t="s">
        <v>5</v>
      </c>
      <c r="F4" s="11" t="s">
        <v>6</v>
      </c>
      <c r="G4" s="11" t="s">
        <v>7</v>
      </c>
      <c r="H4" s="11" t="s">
        <v>8</v>
      </c>
      <c r="I4" s="11" t="s">
        <v>9</v>
      </c>
      <c r="J4" s="11" t="s">
        <v>10</v>
      </c>
      <c r="K4" s="11" t="s">
        <v>11</v>
      </c>
      <c r="L4" s="11" t="s">
        <v>12</v>
      </c>
      <c r="M4" s="11" t="s">
        <v>13</v>
      </c>
      <c r="N4" s="11" t="s">
        <v>14</v>
      </c>
    </row>
    <row r="5" spans="1:15" ht="19.5" customHeight="1" x14ac:dyDescent="0.45">
      <c r="B5" s="7" t="s">
        <v>15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</row>
    <row r="6" spans="1:15" ht="19.5" customHeight="1" x14ac:dyDescent="0.45">
      <c r="B6" s="12" t="s">
        <v>16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</row>
    <row r="7" spans="1:15" ht="19.5" customHeight="1" x14ac:dyDescent="0.45">
      <c r="B7" s="12" t="s">
        <v>17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3">
        <v>0</v>
      </c>
    </row>
    <row r="8" spans="1:15" ht="19.5" customHeight="1" x14ac:dyDescent="0.45">
      <c r="B8" s="12" t="s">
        <v>18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</row>
    <row r="9" spans="1:15" ht="19.5" customHeight="1" x14ac:dyDescent="0.45">
      <c r="B9" s="12" t="s">
        <v>19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</row>
    <row r="10" spans="1:15" ht="19.5" customHeight="1" x14ac:dyDescent="0.45">
      <c r="B10" s="7" t="s">
        <v>20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spans="1:15" ht="19.5" customHeight="1" x14ac:dyDescent="0.45">
      <c r="B11" s="12" t="s">
        <v>21</v>
      </c>
      <c r="C11" s="15">
        <v>0</v>
      </c>
      <c r="D11" s="15">
        <v>0</v>
      </c>
      <c r="E11" s="15">
        <v>0</v>
      </c>
      <c r="F11" s="15">
        <v>0</v>
      </c>
      <c r="G11" s="15">
        <v>0</v>
      </c>
      <c r="H11" s="15">
        <v>0</v>
      </c>
      <c r="I11" s="15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</row>
    <row r="12" spans="1:15" ht="19.5" customHeight="1" x14ac:dyDescent="0.45">
      <c r="B12" s="12" t="s">
        <v>22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</row>
    <row r="13" spans="1:15" ht="19.5" customHeight="1" x14ac:dyDescent="0.45">
      <c r="B13" s="12" t="s">
        <v>23</v>
      </c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</row>
    <row r="14" spans="1:15" ht="19.5" customHeight="1" x14ac:dyDescent="0.45">
      <c r="B14" s="12" t="s">
        <v>24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</row>
    <row r="15" spans="1:15" ht="19.5" customHeight="1" x14ac:dyDescent="0.45">
      <c r="B15" s="12" t="s">
        <v>25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</row>
    <row r="16" spans="1:15" ht="19.5" customHeight="1" x14ac:dyDescent="0.45">
      <c r="B16" s="7" t="s">
        <v>26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2:14" ht="19.5" customHeight="1" x14ac:dyDescent="0.45">
      <c r="B17" s="12" t="s">
        <v>27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16">
        <v>0</v>
      </c>
      <c r="M17" s="16">
        <v>0</v>
      </c>
      <c r="N17" s="16">
        <v>0</v>
      </c>
    </row>
    <row r="18" spans="2:14" ht="19.5" customHeight="1" x14ac:dyDescent="0.45">
      <c r="B18" s="12" t="s">
        <v>28</v>
      </c>
      <c r="C18" s="15">
        <v>0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</row>
    <row r="19" spans="2:14" ht="19.5" customHeight="1" x14ac:dyDescent="0.45">
      <c r="B19" s="12" t="s">
        <v>29</v>
      </c>
      <c r="C19" s="17">
        <v>0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</row>
    <row r="20" spans="2:14" ht="19.5" customHeight="1" x14ac:dyDescent="0.45">
      <c r="B20" s="12" t="s">
        <v>30</v>
      </c>
      <c r="C20" s="14">
        <v>0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4">
        <v>0</v>
      </c>
      <c r="K20" s="14">
        <v>0</v>
      </c>
      <c r="L20" s="14">
        <v>0</v>
      </c>
      <c r="M20" s="14">
        <v>0</v>
      </c>
      <c r="N20" s="14">
        <v>0</v>
      </c>
    </row>
    <row r="21" spans="2:14" ht="19.5" customHeight="1" x14ac:dyDescent="0.45">
      <c r="B21" s="7" t="s">
        <v>31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</row>
    <row r="22" spans="2:14" ht="19.5" customHeight="1" x14ac:dyDescent="0.45">
      <c r="B22" s="12" t="s">
        <v>32</v>
      </c>
      <c r="C22" s="15">
        <v>0</v>
      </c>
      <c r="D22" s="15">
        <v>0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</row>
    <row r="23" spans="2:14" ht="19.5" customHeight="1" x14ac:dyDescent="0.45">
      <c r="B23" s="12" t="s">
        <v>33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</row>
    <row r="24" spans="2:14" ht="19.5" customHeight="1" x14ac:dyDescent="0.45">
      <c r="B24" s="12" t="s">
        <v>34</v>
      </c>
      <c r="C24" s="15">
        <v>0</v>
      </c>
      <c r="D24" s="15">
        <v>0</v>
      </c>
      <c r="E24" s="15">
        <v>0</v>
      </c>
      <c r="F24" s="15">
        <v>0</v>
      </c>
      <c r="G24" s="15">
        <v>0</v>
      </c>
      <c r="H24" s="15">
        <v>0</v>
      </c>
      <c r="I24" s="15">
        <v>0</v>
      </c>
      <c r="J24" s="15">
        <v>0</v>
      </c>
      <c r="K24" s="15">
        <v>0</v>
      </c>
      <c r="L24" s="15">
        <v>0</v>
      </c>
      <c r="M24" s="15">
        <v>0</v>
      </c>
      <c r="N24" s="15">
        <v>0</v>
      </c>
    </row>
    <row r="25" spans="2:14" ht="19.5" customHeight="1" x14ac:dyDescent="0.45">
      <c r="B25" s="12" t="s">
        <v>35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</row>
    <row r="26" spans="2:14" ht="19.5" customHeight="1" x14ac:dyDescent="0.45">
      <c r="B26" s="7" t="s">
        <v>36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</row>
    <row r="27" spans="2:14" ht="19.5" customHeight="1" x14ac:dyDescent="0.45">
      <c r="B27" s="12" t="s">
        <v>37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</row>
    <row r="28" spans="2:14" ht="19.5" customHeight="1" x14ac:dyDescent="0.45">
      <c r="B28" s="12" t="s">
        <v>38</v>
      </c>
      <c r="C28" s="13">
        <v>0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</row>
    <row r="29" spans="2:14" ht="19.5" customHeight="1" x14ac:dyDescent="0.45">
      <c r="B29" s="12" t="s">
        <v>39</v>
      </c>
      <c r="C29" s="13">
        <v>0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</row>
    <row r="30" spans="2:14" ht="19.5" customHeight="1" x14ac:dyDescent="0.45">
      <c r="B30" s="12" t="s">
        <v>40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</row>
    <row r="31" spans="2:14" ht="19.5" customHeight="1" x14ac:dyDescent="0.45">
      <c r="B31" s="12" t="s">
        <v>41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</row>
    <row r="32" spans="2:14" ht="19.5" customHeight="1" x14ac:dyDescent="0.45">
      <c r="B32" s="12" t="s">
        <v>42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</row>
    <row r="33" spans="2:14" ht="19.5" customHeight="1" x14ac:dyDescent="0.45">
      <c r="B33" s="12" t="s">
        <v>43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</row>
    <row r="34" spans="2:14" ht="19.5" customHeight="1" x14ac:dyDescent="0.45">
      <c r="B34" s="7" t="s">
        <v>44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</row>
    <row r="35" spans="2:14" ht="19.5" customHeight="1" x14ac:dyDescent="0.45">
      <c r="B35" s="12" t="s">
        <v>45</v>
      </c>
      <c r="C35" s="15">
        <v>0</v>
      </c>
      <c r="D35" s="15">
        <v>0</v>
      </c>
      <c r="E35" s="15">
        <v>0</v>
      </c>
      <c r="F35" s="15">
        <v>0</v>
      </c>
      <c r="G35" s="15">
        <v>0</v>
      </c>
      <c r="H35" s="15">
        <v>0</v>
      </c>
      <c r="I35" s="15">
        <v>0</v>
      </c>
      <c r="J35" s="15">
        <v>0</v>
      </c>
      <c r="K35" s="15">
        <v>0</v>
      </c>
      <c r="L35" s="15">
        <v>0</v>
      </c>
      <c r="M35" s="15">
        <v>0</v>
      </c>
      <c r="N35" s="15">
        <v>0</v>
      </c>
    </row>
    <row r="36" spans="2:14" ht="19.5" customHeight="1" x14ac:dyDescent="0.45">
      <c r="B36" s="12" t="s">
        <v>46</v>
      </c>
      <c r="C36" s="15">
        <v>0</v>
      </c>
      <c r="D36" s="15">
        <v>0</v>
      </c>
      <c r="E36" s="15">
        <v>0</v>
      </c>
      <c r="F36" s="15">
        <v>0</v>
      </c>
      <c r="G36" s="15">
        <v>0</v>
      </c>
      <c r="H36" s="15">
        <v>0</v>
      </c>
      <c r="I36" s="15">
        <v>0</v>
      </c>
      <c r="J36" s="15">
        <v>0</v>
      </c>
      <c r="K36" s="15">
        <v>0</v>
      </c>
      <c r="L36" s="15">
        <v>0</v>
      </c>
      <c r="M36" s="15">
        <v>0</v>
      </c>
      <c r="N36" s="15">
        <v>0</v>
      </c>
    </row>
    <row r="37" spans="2:14" ht="19.5" customHeight="1" x14ac:dyDescent="0.45">
      <c r="B37" s="12" t="s">
        <v>47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</row>
    <row r="40" spans="2:14" ht="19.5" customHeight="1" x14ac:dyDescent="0.45">
      <c r="B40" s="7" t="s">
        <v>48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</row>
    <row r="41" spans="2:14" ht="21.75" customHeight="1" x14ac:dyDescent="0.45">
      <c r="B41" s="11" t="s">
        <v>2</v>
      </c>
      <c r="C41" s="11" t="s">
        <v>49</v>
      </c>
      <c r="D41" s="11" t="s">
        <v>50</v>
      </c>
    </row>
    <row r="42" spans="2:14" ht="21.75" customHeight="1" x14ac:dyDescent="0.45">
      <c r="B42" s="12" t="s">
        <v>51</v>
      </c>
      <c r="C42" s="13">
        <v>0</v>
      </c>
      <c r="D42" s="13">
        <v>0</v>
      </c>
    </row>
    <row r="43" spans="2:14" ht="21.75" customHeight="1" x14ac:dyDescent="0.45">
      <c r="B43" s="12" t="s">
        <v>52</v>
      </c>
      <c r="C43" s="13">
        <v>0</v>
      </c>
      <c r="D43" s="13">
        <v>0</v>
      </c>
    </row>
    <row r="44" spans="2:14" ht="21.75" customHeight="1" x14ac:dyDescent="0.45">
      <c r="B44" s="12" t="s">
        <v>53</v>
      </c>
      <c r="C44" s="13">
        <v>0</v>
      </c>
      <c r="D44" s="13">
        <v>0</v>
      </c>
    </row>
    <row r="45" spans="2:14" ht="21.75" customHeight="1" x14ac:dyDescent="0.45">
      <c r="B45" s="12" t="s">
        <v>54</v>
      </c>
      <c r="C45" s="15">
        <v>0</v>
      </c>
      <c r="D45" s="15">
        <v>0</v>
      </c>
    </row>
    <row r="46" spans="2:14" ht="21.75" customHeight="1" x14ac:dyDescent="0.45">
      <c r="B46" s="12" t="s">
        <v>55</v>
      </c>
      <c r="C46" s="13">
        <v>0</v>
      </c>
      <c r="D46" s="13">
        <v>0</v>
      </c>
    </row>
    <row r="47" spans="2:14" ht="21.75" customHeight="1" x14ac:dyDescent="0.45">
      <c r="B47" s="12" t="s">
        <v>56</v>
      </c>
      <c r="C47" s="15">
        <v>0</v>
      </c>
      <c r="D47" s="15">
        <v>0</v>
      </c>
    </row>
  </sheetData>
  <mergeCells count="9">
    <mergeCell ref="B21:N21"/>
    <mergeCell ref="B26:N26"/>
    <mergeCell ref="B34:N34"/>
    <mergeCell ref="B40:N40"/>
    <mergeCell ref="B1:N1"/>
    <mergeCell ref="B2:N2"/>
    <mergeCell ref="B5:N5"/>
    <mergeCell ref="B10:N10"/>
    <mergeCell ref="B16:N1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5200"/>
  </sheetPr>
  <dimension ref="A1:P23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19" sqref="C19"/>
    </sheetView>
  </sheetViews>
  <sheetFormatPr defaultColWidth="8.6640625" defaultRowHeight="14.25" x14ac:dyDescent="0.45"/>
  <cols>
    <col min="1" max="1" width="3" customWidth="1"/>
    <col min="2" max="2" width="36" customWidth="1"/>
    <col min="3" max="14" width="10" customWidth="1"/>
    <col min="15" max="15" width="14" customWidth="1"/>
    <col min="16" max="16" width="3" customWidth="1"/>
  </cols>
  <sheetData>
    <row r="1" spans="1:16" ht="30" customHeight="1" x14ac:dyDescent="0.45">
      <c r="A1" s="10"/>
      <c r="B1" s="9" t="s">
        <v>57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10"/>
    </row>
    <row r="2" spans="1:16" ht="27.75" customHeight="1" x14ac:dyDescent="0.45">
      <c r="B2" s="6" t="s">
        <v>58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6" ht="21.75" customHeight="1" x14ac:dyDescent="0.45">
      <c r="B3" s="11" t="s">
        <v>2</v>
      </c>
      <c r="C3" s="11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1" t="s">
        <v>12</v>
      </c>
      <c r="M3" s="11" t="s">
        <v>13</v>
      </c>
      <c r="N3" s="11" t="s">
        <v>14</v>
      </c>
      <c r="O3" s="11" t="s">
        <v>59</v>
      </c>
    </row>
    <row r="4" spans="1:16" ht="19.5" customHeight="1" x14ac:dyDescent="0.45">
      <c r="B4" s="7" t="s">
        <v>60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6" ht="21.75" customHeight="1" x14ac:dyDescent="0.45">
      <c r="B5" s="18" t="s">
        <v>16</v>
      </c>
      <c r="C5" s="19">
        <f>'Data Entry'!C6</f>
        <v>0</v>
      </c>
      <c r="D5" s="19">
        <f>'Data Entry'!D6</f>
        <v>0</v>
      </c>
      <c r="E5" s="19">
        <f>'Data Entry'!E6</f>
        <v>0</v>
      </c>
      <c r="F5" s="19">
        <f>'Data Entry'!F6</f>
        <v>0</v>
      </c>
      <c r="G5" s="19">
        <f>'Data Entry'!G6</f>
        <v>0</v>
      </c>
      <c r="H5" s="19">
        <f>'Data Entry'!H6</f>
        <v>0</v>
      </c>
      <c r="I5" s="19">
        <f>'Data Entry'!I6</f>
        <v>0</v>
      </c>
      <c r="J5" s="19">
        <f>'Data Entry'!J6</f>
        <v>0</v>
      </c>
      <c r="K5" s="19">
        <f>'Data Entry'!K6</f>
        <v>0</v>
      </c>
      <c r="L5" s="19">
        <f>'Data Entry'!L6</f>
        <v>0</v>
      </c>
      <c r="M5" s="19">
        <f>'Data Entry'!M6</f>
        <v>0</v>
      </c>
      <c r="N5" s="19">
        <f>'Data Entry'!N6</f>
        <v>0</v>
      </c>
      <c r="O5" s="20" t="str">
        <f>IFERROR(IF(n0&gt;=c0*1.05,"🟢 Growing &gt;5%",IF(n0&gt;=c0,"🟡 Growing &lt;5%","🔴 MRR declining")),"-")</f>
        <v>-</v>
      </c>
    </row>
    <row r="6" spans="1:16" ht="21.75" customHeight="1" x14ac:dyDescent="0.45">
      <c r="B6" s="18" t="s">
        <v>17</v>
      </c>
      <c r="C6" s="19">
        <f>'Data Entry'!C7</f>
        <v>0</v>
      </c>
      <c r="D6" s="19">
        <f>'Data Entry'!D7</f>
        <v>0</v>
      </c>
      <c r="E6" s="19">
        <f>'Data Entry'!E7</f>
        <v>0</v>
      </c>
      <c r="F6" s="19">
        <f>'Data Entry'!F7</f>
        <v>0</v>
      </c>
      <c r="G6" s="19">
        <f>'Data Entry'!G7</f>
        <v>0</v>
      </c>
      <c r="H6" s="19">
        <f>'Data Entry'!H7</f>
        <v>0</v>
      </c>
      <c r="I6" s="19">
        <f>'Data Entry'!I7</f>
        <v>0</v>
      </c>
      <c r="J6" s="19">
        <f>'Data Entry'!J7</f>
        <v>0</v>
      </c>
      <c r="K6" s="19">
        <f>'Data Entry'!K7</f>
        <v>0</v>
      </c>
      <c r="L6" s="19">
        <f>'Data Entry'!L7</f>
        <v>0</v>
      </c>
      <c r="M6" s="19">
        <f>'Data Entry'!M7</f>
        <v>0</v>
      </c>
      <c r="N6" s="19">
        <f>'Data Entry'!N7</f>
        <v>0</v>
      </c>
      <c r="O6" s="20" t="str">
        <f>IFERROR(IF(n0&gt;0,"🟢 Positive net new ARR",IF(n0=0,"🟡 Flat","🔴 ARR shrinking")),"-")</f>
        <v>-</v>
      </c>
    </row>
    <row r="7" spans="1:16" ht="21.75" customHeight="1" x14ac:dyDescent="0.45">
      <c r="B7" s="18" t="s">
        <v>19</v>
      </c>
      <c r="C7" s="21">
        <f>'Data Entry'!C9</f>
        <v>0</v>
      </c>
      <c r="D7" s="21">
        <f>'Data Entry'!D9</f>
        <v>0</v>
      </c>
      <c r="E7" s="21">
        <f>'Data Entry'!E9</f>
        <v>0</v>
      </c>
      <c r="F7" s="21">
        <f>'Data Entry'!F9</f>
        <v>0</v>
      </c>
      <c r="G7" s="21">
        <f>'Data Entry'!G9</f>
        <v>0</v>
      </c>
      <c r="H7" s="21">
        <f>'Data Entry'!H9</f>
        <v>0</v>
      </c>
      <c r="I7" s="21">
        <f>'Data Entry'!I9</f>
        <v>0</v>
      </c>
      <c r="J7" s="21">
        <f>'Data Entry'!J9</f>
        <v>0</v>
      </c>
      <c r="K7" s="21">
        <f>'Data Entry'!K9</f>
        <v>0</v>
      </c>
      <c r="L7" s="21">
        <f>'Data Entry'!L9</f>
        <v>0</v>
      </c>
      <c r="M7" s="21">
        <f>'Data Entry'!M9</f>
        <v>0</v>
      </c>
      <c r="N7" s="21">
        <f>'Data Entry'!N9</f>
        <v>0</v>
      </c>
      <c r="O7" s="20" t="str">
        <f>IFERROR(IF(n0&gt;=0.05,"🟢 ≥5%",IF(n0&gt;=0.02,"🟡 2–5%","🔴 &lt;2%")),"-")</f>
        <v>-</v>
      </c>
    </row>
    <row r="8" spans="1:16" ht="21.75" customHeight="1" x14ac:dyDescent="0.45">
      <c r="B8" s="18" t="s">
        <v>18</v>
      </c>
      <c r="C8" s="21">
        <f>'Data Entry'!C8</f>
        <v>0</v>
      </c>
      <c r="D8" s="21">
        <f>'Data Entry'!D8</f>
        <v>0</v>
      </c>
      <c r="E8" s="21">
        <f>'Data Entry'!E8</f>
        <v>0</v>
      </c>
      <c r="F8" s="21">
        <f>'Data Entry'!F8</f>
        <v>0</v>
      </c>
      <c r="G8" s="21">
        <f>'Data Entry'!G8</f>
        <v>0</v>
      </c>
      <c r="H8" s="21">
        <f>'Data Entry'!H8</f>
        <v>0</v>
      </c>
      <c r="I8" s="21">
        <f>'Data Entry'!I8</f>
        <v>0</v>
      </c>
      <c r="J8" s="21">
        <f>'Data Entry'!J8</f>
        <v>0</v>
      </c>
      <c r="K8" s="21">
        <f>'Data Entry'!K8</f>
        <v>0</v>
      </c>
      <c r="L8" s="21">
        <f>'Data Entry'!L8</f>
        <v>0</v>
      </c>
      <c r="M8" s="21">
        <f>'Data Entry'!M8</f>
        <v>0</v>
      </c>
      <c r="N8" s="21">
        <f>'Data Entry'!N8</f>
        <v>0</v>
      </c>
      <c r="O8" s="20" t="str">
        <f>IFERROR(IF(n0&gt;=0.5,"🟢 ≥50%",IF(n0&gt;=0.25,"🟡 25–50%","🔴 &lt;25%")),"-")</f>
        <v>-</v>
      </c>
    </row>
    <row r="9" spans="1:16" ht="19.5" customHeight="1" x14ac:dyDescent="0.45">
      <c r="B9" s="7" t="s">
        <v>61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6" ht="21.75" customHeight="1" x14ac:dyDescent="0.45">
      <c r="B10" s="18" t="s">
        <v>21</v>
      </c>
      <c r="C10" s="22">
        <f>'Data Entry'!C11</f>
        <v>0</v>
      </c>
      <c r="D10" s="22">
        <f>'Data Entry'!D11</f>
        <v>0</v>
      </c>
      <c r="E10" s="22">
        <f>'Data Entry'!E11</f>
        <v>0</v>
      </c>
      <c r="F10" s="22">
        <f>'Data Entry'!F11</f>
        <v>0</v>
      </c>
      <c r="G10" s="22">
        <f>'Data Entry'!G11</f>
        <v>0</v>
      </c>
      <c r="H10" s="22">
        <f>'Data Entry'!H11</f>
        <v>0</v>
      </c>
      <c r="I10" s="22">
        <f>'Data Entry'!I11</f>
        <v>0</v>
      </c>
      <c r="J10" s="22">
        <f>'Data Entry'!J11</f>
        <v>0</v>
      </c>
      <c r="K10" s="22">
        <f>'Data Entry'!K11</f>
        <v>0</v>
      </c>
      <c r="L10" s="22">
        <f>'Data Entry'!L11</f>
        <v>0</v>
      </c>
      <c r="M10" s="22">
        <f>'Data Entry'!M11</f>
        <v>0</v>
      </c>
      <c r="N10" s="22">
        <f>'Data Entry'!N11</f>
        <v>0</v>
      </c>
      <c r="O10" s="20" t="str">
        <f>IFERROR(IF(n0&gt;=c0,"🟢 Growing","🔴 Shrinking"),"-")</f>
        <v>-</v>
      </c>
    </row>
    <row r="11" spans="1:16" ht="21.75" customHeight="1" x14ac:dyDescent="0.45">
      <c r="B11" s="18" t="s">
        <v>22</v>
      </c>
      <c r="C11" s="22">
        <f>'Data Entry'!C12</f>
        <v>0</v>
      </c>
      <c r="D11" s="22">
        <f>'Data Entry'!D12</f>
        <v>0</v>
      </c>
      <c r="E11" s="22">
        <f>'Data Entry'!E12</f>
        <v>0</v>
      </c>
      <c r="F11" s="22">
        <f>'Data Entry'!F12</f>
        <v>0</v>
      </c>
      <c r="G11" s="22">
        <f>'Data Entry'!G12</f>
        <v>0</v>
      </c>
      <c r="H11" s="22">
        <f>'Data Entry'!H12</f>
        <v>0</v>
      </c>
      <c r="I11" s="22">
        <f>'Data Entry'!I12</f>
        <v>0</v>
      </c>
      <c r="J11" s="22">
        <f>'Data Entry'!J12</f>
        <v>0</v>
      </c>
      <c r="K11" s="22">
        <f>'Data Entry'!K12</f>
        <v>0</v>
      </c>
      <c r="L11" s="22">
        <f>'Data Entry'!L12</f>
        <v>0</v>
      </c>
      <c r="M11" s="22">
        <f>'Data Entry'!M12</f>
        <v>0</v>
      </c>
      <c r="N11" s="22">
        <f>'Data Entry'!N12</f>
        <v>0</v>
      </c>
      <c r="O11" s="23"/>
    </row>
    <row r="12" spans="1:16" ht="21.75" customHeight="1" x14ac:dyDescent="0.45">
      <c r="B12" s="18" t="s">
        <v>24</v>
      </c>
      <c r="C12" s="21">
        <f>'Data Entry'!C14</f>
        <v>0</v>
      </c>
      <c r="D12" s="21">
        <f>'Data Entry'!D14</f>
        <v>0</v>
      </c>
      <c r="E12" s="21">
        <f>'Data Entry'!E14</f>
        <v>0</v>
      </c>
      <c r="F12" s="21">
        <f>'Data Entry'!F14</f>
        <v>0</v>
      </c>
      <c r="G12" s="21">
        <f>'Data Entry'!G14</f>
        <v>0</v>
      </c>
      <c r="H12" s="21">
        <f>'Data Entry'!H14</f>
        <v>0</v>
      </c>
      <c r="I12" s="21">
        <f>'Data Entry'!I14</f>
        <v>0</v>
      </c>
      <c r="J12" s="21">
        <f>'Data Entry'!J14</f>
        <v>0</v>
      </c>
      <c r="K12" s="21">
        <f>'Data Entry'!K14</f>
        <v>0</v>
      </c>
      <c r="L12" s="21">
        <f>'Data Entry'!L14</f>
        <v>0</v>
      </c>
      <c r="M12" s="21">
        <f>'Data Entry'!M14</f>
        <v>0</v>
      </c>
      <c r="N12" s="21">
        <f>'Data Entry'!N14</f>
        <v>0</v>
      </c>
      <c r="O12" s="20" t="str">
        <f>IFERROR(IF(n0&gt;=1.1,"🟢 ≥110%",IF(n0&gt;=0.9,"🟡 90–110%","🔴 &lt;90%")),"-")</f>
        <v>-</v>
      </c>
    </row>
    <row r="13" spans="1:16" ht="21.75" customHeight="1" x14ac:dyDescent="0.45">
      <c r="B13" s="18" t="s">
        <v>25</v>
      </c>
      <c r="C13" s="21">
        <f>'Data Entry'!C15</f>
        <v>0</v>
      </c>
      <c r="D13" s="21">
        <f>'Data Entry'!D15</f>
        <v>0</v>
      </c>
      <c r="E13" s="21">
        <f>'Data Entry'!E15</f>
        <v>0</v>
      </c>
      <c r="F13" s="21">
        <f>'Data Entry'!F15</f>
        <v>0</v>
      </c>
      <c r="G13" s="21">
        <f>'Data Entry'!G15</f>
        <v>0</v>
      </c>
      <c r="H13" s="21">
        <f>'Data Entry'!H15</f>
        <v>0</v>
      </c>
      <c r="I13" s="21">
        <f>'Data Entry'!I15</f>
        <v>0</v>
      </c>
      <c r="J13" s="21">
        <f>'Data Entry'!J15</f>
        <v>0</v>
      </c>
      <c r="K13" s="21">
        <f>'Data Entry'!K15</f>
        <v>0</v>
      </c>
      <c r="L13" s="21">
        <f>'Data Entry'!L15</f>
        <v>0</v>
      </c>
      <c r="M13" s="21">
        <f>'Data Entry'!M15</f>
        <v>0</v>
      </c>
      <c r="N13" s="21">
        <f>'Data Entry'!N15</f>
        <v>0</v>
      </c>
      <c r="O13" s="20" t="str">
        <f>IFERROR(IF(n0&lt;=0.02,"🟢 ≤2%",IF(n0&lt;=0.05,"🟡 2–5%","🔴 &gt;5%")),"-")</f>
        <v>-</v>
      </c>
    </row>
    <row r="14" spans="1:16" ht="19.5" customHeight="1" x14ac:dyDescent="0.45">
      <c r="B14" s="7" t="s">
        <v>26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6" ht="21.75" customHeight="1" x14ac:dyDescent="0.45">
      <c r="B15" s="18" t="s">
        <v>30</v>
      </c>
      <c r="C15" s="21">
        <f>'Data Entry'!C20</f>
        <v>0</v>
      </c>
      <c r="D15" s="21">
        <f>'Data Entry'!D20</f>
        <v>0</v>
      </c>
      <c r="E15" s="21">
        <f>'Data Entry'!E20</f>
        <v>0</v>
      </c>
      <c r="F15" s="21">
        <f>'Data Entry'!F20</f>
        <v>0</v>
      </c>
      <c r="G15" s="21">
        <f>'Data Entry'!G20</f>
        <v>0</v>
      </c>
      <c r="H15" s="21">
        <f>'Data Entry'!H20</f>
        <v>0</v>
      </c>
      <c r="I15" s="21">
        <f>'Data Entry'!I20</f>
        <v>0</v>
      </c>
      <c r="J15" s="21">
        <f>'Data Entry'!J20</f>
        <v>0</v>
      </c>
      <c r="K15" s="21">
        <f>'Data Entry'!K20</f>
        <v>0</v>
      </c>
      <c r="L15" s="21">
        <f>'Data Entry'!L20</f>
        <v>0</v>
      </c>
      <c r="M15" s="21">
        <f>'Data Entry'!M20</f>
        <v>0</v>
      </c>
      <c r="N15" s="21">
        <f>'Data Entry'!N20</f>
        <v>0</v>
      </c>
      <c r="O15" s="20" t="str">
        <f>IFERROR(IF(n0&gt;=0.6,"🟢 ≥60%",IF(n0&gt;=0.4,"🟡 40–60%","🔴 &lt;40%")),"-")</f>
        <v>-</v>
      </c>
    </row>
    <row r="16" spans="1:16" ht="21.75" customHeight="1" x14ac:dyDescent="0.45">
      <c r="B16" s="18" t="s">
        <v>40</v>
      </c>
      <c r="C16" s="19">
        <f>'Data Entry'!C30</f>
        <v>0</v>
      </c>
      <c r="D16" s="19">
        <f>'Data Entry'!D30</f>
        <v>0</v>
      </c>
      <c r="E16" s="19">
        <f>'Data Entry'!E30</f>
        <v>0</v>
      </c>
      <c r="F16" s="19">
        <f>'Data Entry'!F30</f>
        <v>0</v>
      </c>
      <c r="G16" s="19">
        <f>'Data Entry'!G30</f>
        <v>0</v>
      </c>
      <c r="H16" s="19">
        <f>'Data Entry'!H30</f>
        <v>0</v>
      </c>
      <c r="I16" s="19">
        <f>'Data Entry'!I30</f>
        <v>0</v>
      </c>
      <c r="J16" s="19">
        <f>'Data Entry'!J30</f>
        <v>0</v>
      </c>
      <c r="K16" s="19">
        <f>'Data Entry'!K30</f>
        <v>0</v>
      </c>
      <c r="L16" s="19">
        <f>'Data Entry'!L30</f>
        <v>0</v>
      </c>
      <c r="M16" s="19">
        <f>'Data Entry'!M30</f>
        <v>0</v>
      </c>
      <c r="N16" s="19">
        <f>'Data Entry'!N30</f>
        <v>0</v>
      </c>
      <c r="O16" s="20" t="str">
        <f>IFERROR(IF(n0&gt;=0,"🟢 EBITDA positive","🔴 EBITDA negative"),"-")</f>
        <v>-</v>
      </c>
    </row>
    <row r="17" spans="2:15" ht="21.75" customHeight="1" x14ac:dyDescent="0.45">
      <c r="B17" s="18" t="s">
        <v>41</v>
      </c>
      <c r="C17" s="21">
        <f>'Data Entry'!C31</f>
        <v>0</v>
      </c>
      <c r="D17" s="21">
        <f>'Data Entry'!D31</f>
        <v>0</v>
      </c>
      <c r="E17" s="21">
        <f>'Data Entry'!E31</f>
        <v>0</v>
      </c>
      <c r="F17" s="21">
        <f>'Data Entry'!F31</f>
        <v>0</v>
      </c>
      <c r="G17" s="21">
        <f>'Data Entry'!G31</f>
        <v>0</v>
      </c>
      <c r="H17" s="21">
        <f>'Data Entry'!H31</f>
        <v>0</v>
      </c>
      <c r="I17" s="21">
        <f>'Data Entry'!I31</f>
        <v>0</v>
      </c>
      <c r="J17" s="21">
        <f>'Data Entry'!J31</f>
        <v>0</v>
      </c>
      <c r="K17" s="21">
        <f>'Data Entry'!K31</f>
        <v>0</v>
      </c>
      <c r="L17" s="21">
        <f>'Data Entry'!L31</f>
        <v>0</v>
      </c>
      <c r="M17" s="21">
        <f>'Data Entry'!M31</f>
        <v>0</v>
      </c>
      <c r="N17" s="21">
        <f>'Data Entry'!N31</f>
        <v>0</v>
      </c>
      <c r="O17" s="20" t="str">
        <f>IFERROR(IF(n0&gt;=0.2,"🟢 ≥20%",IF(n0&gt;=0,"🟡 0–20%","🔴 Negative")),"-")</f>
        <v>-</v>
      </c>
    </row>
    <row r="18" spans="2:15" ht="21.75" customHeight="1" x14ac:dyDescent="0.45">
      <c r="B18" s="18" t="s">
        <v>42</v>
      </c>
      <c r="C18" s="19">
        <f>'Data Entry'!C32</f>
        <v>0</v>
      </c>
      <c r="D18" s="19">
        <f>'Data Entry'!D32</f>
        <v>0</v>
      </c>
      <c r="E18" s="19">
        <f>'Data Entry'!E32</f>
        <v>0</v>
      </c>
      <c r="F18" s="19">
        <f>'Data Entry'!F32</f>
        <v>0</v>
      </c>
      <c r="G18" s="19">
        <f>'Data Entry'!G32</f>
        <v>0</v>
      </c>
      <c r="H18" s="19">
        <f>'Data Entry'!H32</f>
        <v>0</v>
      </c>
      <c r="I18" s="19">
        <f>'Data Entry'!I32</f>
        <v>0</v>
      </c>
      <c r="J18" s="19">
        <f>'Data Entry'!J32</f>
        <v>0</v>
      </c>
      <c r="K18" s="19">
        <f>'Data Entry'!K32</f>
        <v>0</v>
      </c>
      <c r="L18" s="19">
        <f>'Data Entry'!L32</f>
        <v>0</v>
      </c>
      <c r="M18" s="19">
        <f>'Data Entry'!M32</f>
        <v>0</v>
      </c>
      <c r="N18" s="19">
        <f>'Data Entry'!N32</f>
        <v>0</v>
      </c>
      <c r="O18" s="20" t="str">
        <f>IFERROR(IF(n0&lt;=0,"🟢 Cash generative","🔴 Burning "&amp;TEXT(ABS(n0),"#,##0.00")&amp;" Cr/mo"),"-")</f>
        <v>-</v>
      </c>
    </row>
    <row r="19" spans="2:15" ht="21.75" customHeight="1" x14ac:dyDescent="0.45">
      <c r="B19" s="18" t="s">
        <v>43</v>
      </c>
      <c r="C19" s="19">
        <f>'Data Entry'!C33</f>
        <v>0</v>
      </c>
      <c r="D19" s="19">
        <f>'Data Entry'!D33</f>
        <v>0</v>
      </c>
      <c r="E19" s="19">
        <f>'Data Entry'!E33</f>
        <v>0</v>
      </c>
      <c r="F19" s="19">
        <f>'Data Entry'!F33</f>
        <v>0</v>
      </c>
      <c r="G19" s="19">
        <f>'Data Entry'!G33</f>
        <v>0</v>
      </c>
      <c r="H19" s="19">
        <f>'Data Entry'!H33</f>
        <v>0</v>
      </c>
      <c r="I19" s="19">
        <f>'Data Entry'!I33</f>
        <v>0</v>
      </c>
      <c r="J19" s="19">
        <f>'Data Entry'!J33</f>
        <v>0</v>
      </c>
      <c r="K19" s="19">
        <f>'Data Entry'!K33</f>
        <v>0</v>
      </c>
      <c r="L19" s="19">
        <f>'Data Entry'!L33</f>
        <v>0</v>
      </c>
      <c r="M19" s="19">
        <f>'Data Entry'!M33</f>
        <v>0</v>
      </c>
      <c r="N19" s="19">
        <f>'Data Entry'!N33</f>
        <v>0</v>
      </c>
      <c r="O19" s="20" t="str">
        <f>IFERROR(IF(n0&gt;0,"🟢 Cash positive","🔴 Cash negative"),"-")</f>
        <v>-</v>
      </c>
    </row>
    <row r="20" spans="2:15" ht="19.5" customHeight="1" x14ac:dyDescent="0.45">
      <c r="B20" s="7" t="s">
        <v>62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2:15" ht="21.75" customHeight="1" x14ac:dyDescent="0.45">
      <c r="B21" s="18" t="s">
        <v>33</v>
      </c>
      <c r="C21" s="19">
        <f>'Data Entry'!C23</f>
        <v>0</v>
      </c>
      <c r="D21" s="19">
        <f>'Data Entry'!D23</f>
        <v>0</v>
      </c>
      <c r="E21" s="19">
        <f>'Data Entry'!E23</f>
        <v>0</v>
      </c>
      <c r="F21" s="19">
        <f>'Data Entry'!F23</f>
        <v>0</v>
      </c>
      <c r="G21" s="19">
        <f>'Data Entry'!G23</f>
        <v>0</v>
      </c>
      <c r="H21" s="19">
        <f>'Data Entry'!H23</f>
        <v>0</v>
      </c>
      <c r="I21" s="19">
        <f>'Data Entry'!I23</f>
        <v>0</v>
      </c>
      <c r="J21" s="19">
        <f>'Data Entry'!J23</f>
        <v>0</v>
      </c>
      <c r="K21" s="19">
        <f>'Data Entry'!K23</f>
        <v>0</v>
      </c>
      <c r="L21" s="19">
        <f>'Data Entry'!L23</f>
        <v>0</v>
      </c>
      <c r="M21" s="19">
        <f>'Data Entry'!M23</f>
        <v>0</v>
      </c>
      <c r="N21" s="19">
        <f>'Data Entry'!N23</f>
        <v>0</v>
      </c>
      <c r="O21" s="20" t="str">
        <f>IFERROR(IF(n0&gt;=c0,"🟢 Pipeline growing","🔴 Pipeline shrinking"),"-")</f>
        <v>-</v>
      </c>
    </row>
    <row r="22" spans="2:15" ht="21.75" customHeight="1" x14ac:dyDescent="0.45">
      <c r="B22" s="18" t="s">
        <v>35</v>
      </c>
      <c r="C22" s="21">
        <f>'Data Entry'!C25</f>
        <v>0</v>
      </c>
      <c r="D22" s="21">
        <f>'Data Entry'!D25</f>
        <v>0</v>
      </c>
      <c r="E22" s="21">
        <f>'Data Entry'!E25</f>
        <v>0</v>
      </c>
      <c r="F22" s="21">
        <f>'Data Entry'!F25</f>
        <v>0</v>
      </c>
      <c r="G22" s="21">
        <f>'Data Entry'!G25</f>
        <v>0</v>
      </c>
      <c r="H22" s="21">
        <f>'Data Entry'!H25</f>
        <v>0</v>
      </c>
      <c r="I22" s="21">
        <f>'Data Entry'!I25</f>
        <v>0</v>
      </c>
      <c r="J22" s="21">
        <f>'Data Entry'!J25</f>
        <v>0</v>
      </c>
      <c r="K22" s="21">
        <f>'Data Entry'!K25</f>
        <v>0</v>
      </c>
      <c r="L22" s="21">
        <f>'Data Entry'!L25</f>
        <v>0</v>
      </c>
      <c r="M22" s="21">
        <f>'Data Entry'!M25</f>
        <v>0</v>
      </c>
      <c r="N22" s="21">
        <f>'Data Entry'!N25</f>
        <v>0</v>
      </c>
      <c r="O22" s="20" t="str">
        <f>IFERROR(IF(n0&gt;=0.3,"🟢 ≥30%","🔴 &lt;30%"),"-")</f>
        <v>-</v>
      </c>
    </row>
    <row r="23" spans="2:15" ht="21.75" customHeight="1" x14ac:dyDescent="0.45">
      <c r="B23" s="18" t="s">
        <v>45</v>
      </c>
      <c r="C23" s="22">
        <f>'Data Entry'!C35</f>
        <v>0</v>
      </c>
      <c r="D23" s="22">
        <f>'Data Entry'!D35</f>
        <v>0</v>
      </c>
      <c r="E23" s="22">
        <f>'Data Entry'!E35</f>
        <v>0</v>
      </c>
      <c r="F23" s="22">
        <f>'Data Entry'!F35</f>
        <v>0</v>
      </c>
      <c r="G23" s="22">
        <f>'Data Entry'!G35</f>
        <v>0</v>
      </c>
      <c r="H23" s="22">
        <f>'Data Entry'!H35</f>
        <v>0</v>
      </c>
      <c r="I23" s="22">
        <f>'Data Entry'!I35</f>
        <v>0</v>
      </c>
      <c r="J23" s="22">
        <f>'Data Entry'!J35</f>
        <v>0</v>
      </c>
      <c r="K23" s="22">
        <f>'Data Entry'!K35</f>
        <v>0</v>
      </c>
      <c r="L23" s="22">
        <f>'Data Entry'!L35</f>
        <v>0</v>
      </c>
      <c r="M23" s="22">
        <f>'Data Entry'!M35</f>
        <v>0</v>
      </c>
      <c r="N23" s="22">
        <f>'Data Entry'!N35</f>
        <v>0</v>
      </c>
      <c r="O23" s="23"/>
    </row>
  </sheetData>
  <mergeCells count="6">
    <mergeCell ref="B20:O20"/>
    <mergeCell ref="B1:O1"/>
    <mergeCell ref="B2:O2"/>
    <mergeCell ref="B4:O4"/>
    <mergeCell ref="B9:O9"/>
    <mergeCell ref="B14:O1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A3A6B"/>
  </sheetPr>
  <dimension ref="A1:H15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8" sqref="C8"/>
    </sheetView>
  </sheetViews>
  <sheetFormatPr defaultColWidth="8.6640625" defaultRowHeight="14.25" x14ac:dyDescent="0.45"/>
  <cols>
    <col min="1" max="1" width="3" customWidth="1"/>
    <col min="2" max="2" width="36" customWidth="1"/>
    <col min="3" max="4" width="16" customWidth="1"/>
    <col min="5" max="6" width="14" customWidth="1"/>
    <col min="7" max="7" width="22" customWidth="1"/>
    <col min="8" max="8" width="3" customWidth="1"/>
  </cols>
  <sheetData>
    <row r="1" spans="1:8" ht="30" customHeight="1" x14ac:dyDescent="0.45">
      <c r="A1" s="10"/>
      <c r="B1" s="9" t="s">
        <v>63</v>
      </c>
      <c r="C1" s="9"/>
      <c r="D1" s="9"/>
      <c r="E1" s="9"/>
      <c r="F1" s="9"/>
      <c r="G1" s="9"/>
      <c r="H1" s="10"/>
    </row>
    <row r="2" spans="1:8" ht="27.75" customHeight="1" x14ac:dyDescent="0.45">
      <c r="B2" s="6" t="s">
        <v>64</v>
      </c>
      <c r="C2" s="6"/>
      <c r="D2" s="6"/>
      <c r="E2" s="6"/>
      <c r="F2" s="6"/>
      <c r="G2" s="6"/>
    </row>
    <row r="3" spans="1:8" ht="21.75" customHeight="1" x14ac:dyDescent="0.45">
      <c r="B3" s="11" t="s">
        <v>2</v>
      </c>
      <c r="C3" s="11" t="s">
        <v>65</v>
      </c>
      <c r="D3" s="11" t="s">
        <v>66</v>
      </c>
      <c r="E3" s="11" t="s">
        <v>67</v>
      </c>
      <c r="F3" s="11" t="s">
        <v>68</v>
      </c>
      <c r="G3" s="11" t="s">
        <v>69</v>
      </c>
    </row>
    <row r="4" spans="1:8" ht="24" customHeight="1" x14ac:dyDescent="0.45">
      <c r="B4" s="18" t="s">
        <v>16</v>
      </c>
      <c r="C4" s="24">
        <f>'Data Entry'!N6</f>
        <v>0</v>
      </c>
      <c r="D4" s="19">
        <f>'Data Entry'!M6</f>
        <v>0</v>
      </c>
      <c r="E4" s="25">
        <f t="shared" ref="E4:E15" si="0">IFERROR(C4-D4,0)</f>
        <v>0</v>
      </c>
      <c r="F4" s="26">
        <f t="shared" ref="F4:F15" si="1">IFERROR((C4-D4)/ABS(D4),0)</f>
        <v>0</v>
      </c>
      <c r="G4" s="20" t="str">
        <f t="shared" ref="G4:G15" si="2">IFERROR(IF(C4&gt;=D4,"🟢 Improving","🔴 Declining"),"-")</f>
        <v>🟢 Improving</v>
      </c>
    </row>
    <row r="5" spans="1:8" ht="24" customHeight="1" x14ac:dyDescent="0.45">
      <c r="B5" s="18" t="s">
        <v>17</v>
      </c>
      <c r="C5" s="24">
        <f>'Data Entry'!N7</f>
        <v>0</v>
      </c>
      <c r="D5" s="19">
        <f>'Data Entry'!M7</f>
        <v>0</v>
      </c>
      <c r="E5" s="25">
        <f t="shared" si="0"/>
        <v>0</v>
      </c>
      <c r="F5" s="26">
        <f t="shared" si="1"/>
        <v>0</v>
      </c>
      <c r="G5" s="20" t="str">
        <f t="shared" si="2"/>
        <v>🟢 Improving</v>
      </c>
    </row>
    <row r="6" spans="1:8" ht="24" customHeight="1" x14ac:dyDescent="0.45">
      <c r="B6" s="18" t="s">
        <v>21</v>
      </c>
      <c r="C6" s="27">
        <f>'Data Entry'!N11</f>
        <v>0</v>
      </c>
      <c r="D6" s="22">
        <f>'Data Entry'!M11</f>
        <v>0</v>
      </c>
      <c r="E6" s="28">
        <f t="shared" si="0"/>
        <v>0</v>
      </c>
      <c r="F6" s="26">
        <f t="shared" si="1"/>
        <v>0</v>
      </c>
      <c r="G6" s="20" t="str">
        <f t="shared" si="2"/>
        <v>🟢 Improving</v>
      </c>
    </row>
    <row r="7" spans="1:8" ht="24" customHeight="1" x14ac:dyDescent="0.45">
      <c r="B7" s="18" t="s">
        <v>22</v>
      </c>
      <c r="C7" s="27">
        <f>'Data Entry'!N12</f>
        <v>0</v>
      </c>
      <c r="D7" s="22">
        <f>'Data Entry'!M12</f>
        <v>0</v>
      </c>
      <c r="E7" s="28">
        <f t="shared" si="0"/>
        <v>0</v>
      </c>
      <c r="F7" s="26">
        <f t="shared" si="1"/>
        <v>0</v>
      </c>
      <c r="G7" s="20" t="str">
        <f t="shared" si="2"/>
        <v>🟢 Improving</v>
      </c>
    </row>
    <row r="8" spans="1:8" ht="24" customHeight="1" x14ac:dyDescent="0.45">
      <c r="B8" s="18" t="s">
        <v>24</v>
      </c>
      <c r="C8" s="29">
        <f>'Data Entry'!N14</f>
        <v>0</v>
      </c>
      <c r="D8" s="21">
        <f>'Data Entry'!M14</f>
        <v>0</v>
      </c>
      <c r="E8" s="26">
        <f t="shared" si="0"/>
        <v>0</v>
      </c>
      <c r="F8" s="26">
        <f t="shared" si="1"/>
        <v>0</v>
      </c>
      <c r="G8" s="20" t="str">
        <f t="shared" si="2"/>
        <v>🟢 Improving</v>
      </c>
    </row>
    <row r="9" spans="1:8" ht="24" customHeight="1" x14ac:dyDescent="0.45">
      <c r="B9" s="18" t="s">
        <v>30</v>
      </c>
      <c r="C9" s="29">
        <f>'Data Entry'!N20</f>
        <v>0</v>
      </c>
      <c r="D9" s="21">
        <f>'Data Entry'!M20</f>
        <v>0</v>
      </c>
      <c r="E9" s="26">
        <f t="shared" si="0"/>
        <v>0</v>
      </c>
      <c r="F9" s="26">
        <f t="shared" si="1"/>
        <v>0</v>
      </c>
      <c r="G9" s="20" t="str">
        <f t="shared" si="2"/>
        <v>🟢 Improving</v>
      </c>
    </row>
    <row r="10" spans="1:8" ht="24" customHeight="1" x14ac:dyDescent="0.45">
      <c r="B10" s="18" t="s">
        <v>40</v>
      </c>
      <c r="C10" s="24">
        <f>'Data Entry'!N30</f>
        <v>0</v>
      </c>
      <c r="D10" s="19">
        <f>'Data Entry'!M30</f>
        <v>0</v>
      </c>
      <c r="E10" s="25">
        <f t="shared" si="0"/>
        <v>0</v>
      </c>
      <c r="F10" s="26">
        <f t="shared" si="1"/>
        <v>0</v>
      </c>
      <c r="G10" s="20" t="str">
        <f t="shared" si="2"/>
        <v>🟢 Improving</v>
      </c>
    </row>
    <row r="11" spans="1:8" ht="24" customHeight="1" x14ac:dyDescent="0.45">
      <c r="B11" s="18" t="s">
        <v>42</v>
      </c>
      <c r="C11" s="24">
        <f>'Data Entry'!N32</f>
        <v>0</v>
      </c>
      <c r="D11" s="19">
        <f>'Data Entry'!M32</f>
        <v>0</v>
      </c>
      <c r="E11" s="25">
        <f t="shared" si="0"/>
        <v>0</v>
      </c>
      <c r="F11" s="26">
        <f t="shared" si="1"/>
        <v>0</v>
      </c>
      <c r="G11" s="20" t="str">
        <f t="shared" si="2"/>
        <v>🟢 Improving</v>
      </c>
    </row>
    <row r="12" spans="1:8" ht="24" customHeight="1" x14ac:dyDescent="0.45">
      <c r="B12" s="18" t="s">
        <v>43</v>
      </c>
      <c r="C12" s="24">
        <f>'Data Entry'!N33</f>
        <v>0</v>
      </c>
      <c r="D12" s="19">
        <f>'Data Entry'!M33</f>
        <v>0</v>
      </c>
      <c r="E12" s="25">
        <f t="shared" si="0"/>
        <v>0</v>
      </c>
      <c r="F12" s="26">
        <f t="shared" si="1"/>
        <v>0</v>
      </c>
      <c r="G12" s="20" t="str">
        <f t="shared" si="2"/>
        <v>🟢 Improving</v>
      </c>
    </row>
    <row r="13" spans="1:8" ht="24" customHeight="1" x14ac:dyDescent="0.45">
      <c r="B13" s="18" t="s">
        <v>33</v>
      </c>
      <c r="C13" s="24">
        <f>'Data Entry'!N23</f>
        <v>0</v>
      </c>
      <c r="D13" s="19">
        <f>'Data Entry'!M23</f>
        <v>0</v>
      </c>
      <c r="E13" s="25">
        <f t="shared" si="0"/>
        <v>0</v>
      </c>
      <c r="F13" s="26">
        <f t="shared" si="1"/>
        <v>0</v>
      </c>
      <c r="G13" s="20" t="str">
        <f t="shared" si="2"/>
        <v>🟢 Improving</v>
      </c>
    </row>
    <row r="14" spans="1:8" ht="24" customHeight="1" x14ac:dyDescent="0.45">
      <c r="B14" s="18" t="s">
        <v>35</v>
      </c>
      <c r="C14" s="29">
        <f>'Data Entry'!N25</f>
        <v>0</v>
      </c>
      <c r="D14" s="21">
        <f>'Data Entry'!M25</f>
        <v>0</v>
      </c>
      <c r="E14" s="26">
        <f t="shared" si="0"/>
        <v>0</v>
      </c>
      <c r="F14" s="26">
        <f t="shared" si="1"/>
        <v>0</v>
      </c>
      <c r="G14" s="20" t="str">
        <f t="shared" si="2"/>
        <v>🟢 Improving</v>
      </c>
    </row>
    <row r="15" spans="1:8" ht="24" customHeight="1" x14ac:dyDescent="0.45">
      <c r="B15" s="18" t="s">
        <v>45</v>
      </c>
      <c r="C15" s="27">
        <f>'Data Entry'!N35</f>
        <v>0</v>
      </c>
      <c r="D15" s="22">
        <f>'Data Entry'!M35</f>
        <v>0</v>
      </c>
      <c r="E15" s="28">
        <f t="shared" si="0"/>
        <v>0</v>
      </c>
      <c r="F15" s="26">
        <f t="shared" si="1"/>
        <v>0</v>
      </c>
      <c r="G15" s="20" t="str">
        <f t="shared" si="2"/>
        <v>🟢 Improving</v>
      </c>
    </row>
  </sheetData>
  <mergeCells count="2">
    <mergeCell ref="B1:G1"/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A0A0A"/>
  </sheetPr>
  <dimension ref="A1:G37"/>
  <sheetViews>
    <sheetView showGridLines="0" topLeftCell="A19" zoomScaleNormal="100" workbookViewId="0">
      <selection activeCell="D33" sqref="D33"/>
    </sheetView>
  </sheetViews>
  <sheetFormatPr defaultColWidth="8.6640625" defaultRowHeight="14.25" x14ac:dyDescent="0.45"/>
  <cols>
    <col min="1" max="1" width="3" customWidth="1"/>
    <col min="2" max="2" width="38" customWidth="1"/>
    <col min="3" max="5" width="14" customWidth="1"/>
    <col min="6" max="6" width="22" customWidth="1"/>
    <col min="7" max="7" width="3" customWidth="1"/>
  </cols>
  <sheetData>
    <row r="1" spans="1:7" ht="30" customHeight="1" x14ac:dyDescent="0.45">
      <c r="A1" s="10"/>
      <c r="B1" s="9" t="s">
        <v>70</v>
      </c>
      <c r="C1" s="9"/>
      <c r="D1" s="9"/>
      <c r="E1" s="9"/>
      <c r="F1" s="9"/>
      <c r="G1" s="10"/>
    </row>
    <row r="2" spans="1:7" x14ac:dyDescent="0.45">
      <c r="B2" s="8" t="s">
        <v>71</v>
      </c>
      <c r="C2" s="8"/>
      <c r="D2" s="8"/>
      <c r="E2" s="8"/>
      <c r="F2" s="8"/>
    </row>
    <row r="4" spans="1:7" ht="19.5" customHeight="1" x14ac:dyDescent="0.45">
      <c r="B4" s="7" t="s">
        <v>72</v>
      </c>
      <c r="C4" s="7"/>
      <c r="D4" s="7"/>
      <c r="E4" s="7"/>
      <c r="F4" s="7"/>
    </row>
    <row r="5" spans="1:7" ht="21.75" customHeight="1" x14ac:dyDescent="0.45">
      <c r="B5" s="11" t="s">
        <v>2</v>
      </c>
      <c r="C5" s="11" t="s">
        <v>73</v>
      </c>
      <c r="D5" s="11" t="s">
        <v>66</v>
      </c>
      <c r="E5" s="11" t="s">
        <v>74</v>
      </c>
      <c r="F5" s="11" t="s">
        <v>69</v>
      </c>
    </row>
    <row r="6" spans="1:7" ht="25.5" customHeight="1" x14ac:dyDescent="0.45">
      <c r="B6" s="18" t="s">
        <v>16</v>
      </c>
      <c r="C6" s="24">
        <f>'Data Entry'!N6</f>
        <v>0</v>
      </c>
      <c r="D6" s="19">
        <f>'Data Entry'!M6</f>
        <v>0</v>
      </c>
      <c r="E6" s="25">
        <f t="shared" ref="E6:E13" si="0">IFERROR(C6-D6,0)</f>
        <v>0</v>
      </c>
      <c r="F6" s="20" t="str">
        <f t="shared" ref="F6:F13" si="1">IFERROR(IF(C6&gt;=D6,"🟢","🔴"),"-")</f>
        <v>🟢</v>
      </c>
    </row>
    <row r="7" spans="1:7" ht="25.5" customHeight="1" x14ac:dyDescent="0.45">
      <c r="B7" s="18" t="s">
        <v>17</v>
      </c>
      <c r="C7" s="24">
        <f>'Data Entry'!N7</f>
        <v>0</v>
      </c>
      <c r="D7" s="19">
        <f>'Data Entry'!M7</f>
        <v>0</v>
      </c>
      <c r="E7" s="25">
        <f t="shared" si="0"/>
        <v>0</v>
      </c>
      <c r="F7" s="20" t="str">
        <f t="shared" si="1"/>
        <v>🟢</v>
      </c>
    </row>
    <row r="8" spans="1:7" ht="25.5" customHeight="1" x14ac:dyDescent="0.45">
      <c r="B8" s="18" t="s">
        <v>21</v>
      </c>
      <c r="C8" s="27">
        <f>'Data Entry'!N11</f>
        <v>0</v>
      </c>
      <c r="D8" s="22">
        <f>'Data Entry'!M11</f>
        <v>0</v>
      </c>
      <c r="E8" s="28">
        <f t="shared" si="0"/>
        <v>0</v>
      </c>
      <c r="F8" s="20" t="str">
        <f t="shared" si="1"/>
        <v>🟢</v>
      </c>
    </row>
    <row r="9" spans="1:7" ht="25.5" customHeight="1" x14ac:dyDescent="0.45">
      <c r="B9" s="18" t="s">
        <v>24</v>
      </c>
      <c r="C9" s="29">
        <f>'Data Entry'!N14</f>
        <v>0</v>
      </c>
      <c r="D9" s="21">
        <f>'Data Entry'!M14</f>
        <v>0</v>
      </c>
      <c r="E9" s="26">
        <f t="shared" si="0"/>
        <v>0</v>
      </c>
      <c r="F9" s="20" t="str">
        <f t="shared" si="1"/>
        <v>🟢</v>
      </c>
    </row>
    <row r="10" spans="1:7" ht="25.5" customHeight="1" x14ac:dyDescent="0.45">
      <c r="B10" s="18" t="s">
        <v>30</v>
      </c>
      <c r="C10" s="29">
        <f>'Data Entry'!N20</f>
        <v>0</v>
      </c>
      <c r="D10" s="21">
        <f>'Data Entry'!M20</f>
        <v>0</v>
      </c>
      <c r="E10" s="26">
        <f t="shared" si="0"/>
        <v>0</v>
      </c>
      <c r="F10" s="20" t="str">
        <f t="shared" si="1"/>
        <v>🟢</v>
      </c>
    </row>
    <row r="11" spans="1:7" ht="25.5" customHeight="1" x14ac:dyDescent="0.45">
      <c r="B11" s="18" t="s">
        <v>40</v>
      </c>
      <c r="C11" s="24">
        <f>'Data Entry'!N30</f>
        <v>0</v>
      </c>
      <c r="D11" s="19">
        <f>'Data Entry'!M30</f>
        <v>0</v>
      </c>
      <c r="E11" s="25">
        <f t="shared" si="0"/>
        <v>0</v>
      </c>
      <c r="F11" s="20" t="str">
        <f t="shared" si="1"/>
        <v>🟢</v>
      </c>
    </row>
    <row r="12" spans="1:7" ht="25.5" customHeight="1" x14ac:dyDescent="0.45">
      <c r="B12" s="18" t="s">
        <v>75</v>
      </c>
      <c r="C12" s="24">
        <f>'Data Entry'!N32</f>
        <v>0</v>
      </c>
      <c r="D12" s="19">
        <f>'Data Entry'!M32</f>
        <v>0</v>
      </c>
      <c r="E12" s="25">
        <f t="shared" si="0"/>
        <v>0</v>
      </c>
      <c r="F12" s="20" t="str">
        <f t="shared" si="1"/>
        <v>🟢</v>
      </c>
    </row>
    <row r="13" spans="1:7" ht="25.5" customHeight="1" x14ac:dyDescent="0.45">
      <c r="B13" s="18" t="s">
        <v>76</v>
      </c>
      <c r="C13" s="27">
        <f>'Data Entry'!N18</f>
        <v>0</v>
      </c>
      <c r="D13" s="22">
        <f>'Data Entry'!M18</f>
        <v>0</v>
      </c>
      <c r="E13" s="28">
        <f t="shared" si="0"/>
        <v>0</v>
      </c>
      <c r="F13" s="20" t="str">
        <f t="shared" si="1"/>
        <v>🟢</v>
      </c>
    </row>
    <row r="15" spans="1:7" ht="19.5" customHeight="1" x14ac:dyDescent="0.45">
      <c r="B15" s="7" t="s">
        <v>77</v>
      </c>
      <c r="C15" s="7"/>
      <c r="D15" s="7"/>
      <c r="E15" s="7"/>
      <c r="F15" s="7"/>
    </row>
    <row r="16" spans="1:7" ht="36" customHeight="1" x14ac:dyDescent="0.45">
      <c r="B16" s="5" t="s">
        <v>78</v>
      </c>
      <c r="C16" s="5"/>
      <c r="D16" s="5"/>
      <c r="E16" s="5"/>
      <c r="F16" s="5"/>
    </row>
    <row r="17" spans="2:6" ht="36" customHeight="1" x14ac:dyDescent="0.45">
      <c r="B17" s="5" t="s">
        <v>79</v>
      </c>
      <c r="C17" s="5"/>
      <c r="D17" s="5"/>
      <c r="E17" s="5"/>
      <c r="F17" s="5"/>
    </row>
    <row r="19" spans="2:6" ht="19.5" customHeight="1" x14ac:dyDescent="0.45">
      <c r="B19" s="7" t="s">
        <v>80</v>
      </c>
      <c r="C19" s="7"/>
      <c r="D19" s="7"/>
      <c r="E19" s="7"/>
      <c r="F19" s="7"/>
    </row>
    <row r="20" spans="2:6" ht="36" customHeight="1" x14ac:dyDescent="0.45">
      <c r="B20" s="5" t="s">
        <v>81</v>
      </c>
      <c r="C20" s="5"/>
      <c r="D20" s="5"/>
      <c r="E20" s="5"/>
      <c r="F20" s="5"/>
    </row>
    <row r="21" spans="2:6" ht="36" customHeight="1" x14ac:dyDescent="0.45">
      <c r="B21" s="5" t="s">
        <v>82</v>
      </c>
      <c r="C21" s="5"/>
      <c r="D21" s="5"/>
      <c r="E21" s="5"/>
      <c r="F21" s="5"/>
    </row>
    <row r="23" spans="2:6" ht="19.5" customHeight="1" x14ac:dyDescent="0.45">
      <c r="B23" s="7" t="s">
        <v>83</v>
      </c>
      <c r="C23" s="7"/>
      <c r="D23" s="7"/>
      <c r="E23" s="7"/>
      <c r="F23" s="7"/>
    </row>
    <row r="24" spans="2:6" ht="30" customHeight="1" x14ac:dyDescent="0.45">
      <c r="B24" s="4" t="s">
        <v>84</v>
      </c>
      <c r="C24" s="4"/>
      <c r="D24" s="4"/>
      <c r="E24" s="4"/>
      <c r="F24" s="4"/>
    </row>
    <row r="25" spans="2:6" ht="30" customHeight="1" x14ac:dyDescent="0.45">
      <c r="B25" s="4" t="s">
        <v>84</v>
      </c>
      <c r="C25" s="4"/>
      <c r="D25" s="4"/>
      <c r="E25" s="4"/>
      <c r="F25" s="4"/>
    </row>
    <row r="26" spans="2:6" ht="30" customHeight="1" x14ac:dyDescent="0.45">
      <c r="B26" s="4" t="s">
        <v>84</v>
      </c>
      <c r="C26" s="4"/>
      <c r="D26" s="4"/>
      <c r="E26" s="4"/>
      <c r="F26" s="4"/>
    </row>
    <row r="28" spans="2:6" ht="19.5" customHeight="1" x14ac:dyDescent="0.45">
      <c r="B28" s="7" t="s">
        <v>85</v>
      </c>
      <c r="C28" s="7"/>
      <c r="D28" s="7"/>
      <c r="E28" s="7"/>
      <c r="F28" s="7"/>
    </row>
    <row r="29" spans="2:6" ht="31.5" customHeight="1" x14ac:dyDescent="0.45">
      <c r="B29" s="4" t="s">
        <v>86</v>
      </c>
      <c r="C29" s="4"/>
      <c r="D29" s="4"/>
      <c r="E29" s="4"/>
      <c r="F29" s="4"/>
    </row>
    <row r="30" spans="2:6" ht="31.5" customHeight="1" x14ac:dyDescent="0.45">
      <c r="B30" s="4" t="s">
        <v>86</v>
      </c>
      <c r="C30" s="4"/>
      <c r="D30" s="4"/>
      <c r="E30" s="4"/>
      <c r="F30" s="4"/>
    </row>
    <row r="31" spans="2:6" ht="31.5" customHeight="1" x14ac:dyDescent="0.45">
      <c r="B31" s="4" t="s">
        <v>86</v>
      </c>
      <c r="C31" s="4"/>
      <c r="D31" s="4"/>
      <c r="E31" s="4"/>
      <c r="F31" s="4"/>
    </row>
    <row r="32" spans="2:6" ht="31.5" customHeight="1" x14ac:dyDescent="0.45">
      <c r="B32" s="4" t="s">
        <v>86</v>
      </c>
      <c r="C32" s="4"/>
      <c r="D32" s="4"/>
      <c r="E32" s="4"/>
      <c r="F32" s="4"/>
    </row>
    <row r="34" spans="2:6" ht="19.5" customHeight="1" x14ac:dyDescent="0.45">
      <c r="B34" s="7" t="s">
        <v>87</v>
      </c>
      <c r="C34" s="7"/>
      <c r="D34" s="7"/>
      <c r="E34" s="7"/>
      <c r="F34" s="7"/>
    </row>
    <row r="35" spans="2:6" ht="36" customHeight="1" x14ac:dyDescent="0.45">
      <c r="B35" s="18" t="s">
        <v>88</v>
      </c>
      <c r="C35" s="3" t="s">
        <v>89</v>
      </c>
      <c r="D35" s="3"/>
      <c r="E35" s="3"/>
      <c r="F35" s="3"/>
    </row>
    <row r="36" spans="2:6" ht="36" customHeight="1" x14ac:dyDescent="0.45">
      <c r="B36" s="18" t="s">
        <v>90</v>
      </c>
      <c r="C36" s="3" t="s">
        <v>91</v>
      </c>
      <c r="D36" s="3"/>
      <c r="E36" s="3"/>
      <c r="F36" s="3"/>
    </row>
    <row r="37" spans="2:6" x14ac:dyDescent="0.45">
      <c r="B37" s="2" t="s">
        <v>92</v>
      </c>
      <c r="C37" s="2"/>
      <c r="D37" s="2"/>
      <c r="E37" s="2"/>
      <c r="F37" s="2"/>
    </row>
  </sheetData>
  <mergeCells count="22">
    <mergeCell ref="C36:F36"/>
    <mergeCell ref="B37:F37"/>
    <mergeCell ref="B30:F30"/>
    <mergeCell ref="B31:F31"/>
    <mergeCell ref="B32:F32"/>
    <mergeCell ref="B34:F34"/>
    <mergeCell ref="C35:F35"/>
    <mergeCell ref="B24:F24"/>
    <mergeCell ref="B25:F25"/>
    <mergeCell ref="B26:F26"/>
    <mergeCell ref="B28:F28"/>
    <mergeCell ref="B29:F29"/>
    <mergeCell ref="B17:F17"/>
    <mergeCell ref="B19:F19"/>
    <mergeCell ref="B20:F20"/>
    <mergeCell ref="B21:F21"/>
    <mergeCell ref="B23:F23"/>
    <mergeCell ref="B1:F1"/>
    <mergeCell ref="B2:F2"/>
    <mergeCell ref="B4:F4"/>
    <mergeCell ref="B15:F15"/>
    <mergeCell ref="B16:F1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1C1C"/>
  </sheetPr>
  <dimension ref="A1:F23"/>
  <sheetViews>
    <sheetView showGridLines="0" topLeftCell="A12" zoomScaleNormal="100" workbookViewId="0">
      <selection activeCell="A39" sqref="A39"/>
    </sheetView>
  </sheetViews>
  <sheetFormatPr defaultColWidth="8.6640625" defaultRowHeight="14.25" x14ac:dyDescent="0.45"/>
  <cols>
    <col min="1" max="1" width="3" customWidth="1"/>
    <col min="2" max="2" width="40" customWidth="1"/>
    <col min="3" max="4" width="14" customWidth="1"/>
    <col min="5" max="5" width="22" customWidth="1"/>
    <col min="6" max="6" width="3" customWidth="1"/>
  </cols>
  <sheetData>
    <row r="1" spans="1:6" ht="30" customHeight="1" x14ac:dyDescent="0.45">
      <c r="A1" s="10"/>
      <c r="B1" s="9" t="s">
        <v>93</v>
      </c>
      <c r="C1" s="9"/>
      <c r="D1" s="9"/>
      <c r="E1" s="9"/>
      <c r="F1" s="10"/>
    </row>
    <row r="2" spans="1:6" x14ac:dyDescent="0.45">
      <c r="B2" s="8" t="s">
        <v>94</v>
      </c>
      <c r="C2" s="8"/>
      <c r="D2" s="8"/>
      <c r="E2" s="8"/>
    </row>
    <row r="4" spans="1:6" ht="19.5" customHeight="1" x14ac:dyDescent="0.45">
      <c r="B4" s="7" t="s">
        <v>95</v>
      </c>
      <c r="C4" s="7"/>
      <c r="D4" s="7"/>
      <c r="E4" s="7"/>
    </row>
    <row r="5" spans="1:6" ht="21.75" customHeight="1" x14ac:dyDescent="0.45">
      <c r="B5" s="11" t="s">
        <v>2</v>
      </c>
      <c r="C5" s="11" t="s">
        <v>73</v>
      </c>
      <c r="D5" s="11" t="s">
        <v>66</v>
      </c>
      <c r="E5" s="11" t="s">
        <v>69</v>
      </c>
    </row>
    <row r="6" spans="1:6" ht="25.5" customHeight="1" x14ac:dyDescent="0.45">
      <c r="B6" s="18" t="s">
        <v>16</v>
      </c>
      <c r="C6" s="24">
        <f>'Data Entry'!N6</f>
        <v>0</v>
      </c>
      <c r="D6" s="19">
        <f>'Data Entry'!M6</f>
        <v>0</v>
      </c>
      <c r="E6" s="20" t="str">
        <f t="shared" ref="E6:E13" si="0">IFERROR(IF(C6&gt;=D6,"🟢 On track","🔴 Behind"),"-")</f>
        <v>🟢 On track</v>
      </c>
    </row>
    <row r="7" spans="1:6" ht="25.5" customHeight="1" x14ac:dyDescent="0.45">
      <c r="B7" s="18" t="s">
        <v>17</v>
      </c>
      <c r="C7" s="24">
        <f>'Data Entry'!N7</f>
        <v>0</v>
      </c>
      <c r="D7" s="19">
        <f>'Data Entry'!M7</f>
        <v>0</v>
      </c>
      <c r="E7" s="20" t="str">
        <f t="shared" si="0"/>
        <v>🟢 On track</v>
      </c>
    </row>
    <row r="8" spans="1:6" ht="25.5" customHeight="1" x14ac:dyDescent="0.45">
      <c r="B8" s="18" t="s">
        <v>21</v>
      </c>
      <c r="C8" s="27">
        <f>'Data Entry'!N11</f>
        <v>0</v>
      </c>
      <c r="D8" s="22">
        <f>'Data Entry'!M11</f>
        <v>0</v>
      </c>
      <c r="E8" s="20" t="str">
        <f t="shared" si="0"/>
        <v>🟢 On track</v>
      </c>
    </row>
    <row r="9" spans="1:6" ht="25.5" customHeight="1" x14ac:dyDescent="0.45">
      <c r="B9" s="18" t="s">
        <v>24</v>
      </c>
      <c r="C9" s="29">
        <f>'Data Entry'!N14</f>
        <v>0</v>
      </c>
      <c r="D9" s="21">
        <f>'Data Entry'!M14</f>
        <v>0</v>
      </c>
      <c r="E9" s="20" t="str">
        <f t="shared" si="0"/>
        <v>🟢 On track</v>
      </c>
    </row>
    <row r="10" spans="1:6" ht="25.5" customHeight="1" x14ac:dyDescent="0.45">
      <c r="B10" s="18" t="s">
        <v>30</v>
      </c>
      <c r="C10" s="29">
        <f>'Data Entry'!N20</f>
        <v>0</v>
      </c>
      <c r="D10" s="21">
        <f>'Data Entry'!M20</f>
        <v>0</v>
      </c>
      <c r="E10" s="20" t="str">
        <f t="shared" si="0"/>
        <v>🟢 On track</v>
      </c>
    </row>
    <row r="11" spans="1:6" ht="25.5" customHeight="1" x14ac:dyDescent="0.45">
      <c r="B11" s="18" t="s">
        <v>40</v>
      </c>
      <c r="C11" s="24">
        <f>'Data Entry'!N30</f>
        <v>0</v>
      </c>
      <c r="D11" s="19">
        <f>'Data Entry'!M30</f>
        <v>0</v>
      </c>
      <c r="E11" s="20" t="str">
        <f t="shared" si="0"/>
        <v>🟢 On track</v>
      </c>
    </row>
    <row r="12" spans="1:6" ht="25.5" customHeight="1" x14ac:dyDescent="0.45">
      <c r="B12" s="18" t="s">
        <v>75</v>
      </c>
      <c r="C12" s="24">
        <f>'Data Entry'!N32</f>
        <v>0</v>
      </c>
      <c r="D12" s="19">
        <f>'Data Entry'!M32</f>
        <v>0</v>
      </c>
      <c r="E12" s="20" t="str">
        <f t="shared" si="0"/>
        <v>🟢 On track</v>
      </c>
    </row>
    <row r="13" spans="1:6" ht="25.5" customHeight="1" x14ac:dyDescent="0.45">
      <c r="B13" s="18" t="s">
        <v>76</v>
      </c>
      <c r="C13" s="27">
        <f>'Data Entry'!N18</f>
        <v>0</v>
      </c>
      <c r="D13" s="22">
        <f>'Data Entry'!M18</f>
        <v>0</v>
      </c>
      <c r="E13" s="20" t="str">
        <f t="shared" si="0"/>
        <v>🟢 On track</v>
      </c>
    </row>
    <row r="15" spans="1:6" ht="19.5" customHeight="1" x14ac:dyDescent="0.45">
      <c r="B15" s="7" t="s">
        <v>96</v>
      </c>
      <c r="C15" s="7"/>
      <c r="D15" s="7"/>
      <c r="E15" s="7"/>
    </row>
    <row r="16" spans="1:6" ht="31.5" customHeight="1" x14ac:dyDescent="0.45">
      <c r="B16" s="1"/>
      <c r="C16" s="1"/>
      <c r="D16" s="1"/>
      <c r="E16" s="1"/>
    </row>
    <row r="17" spans="2:5" ht="31.5" customHeight="1" x14ac:dyDescent="0.45">
      <c r="B17" s="1"/>
      <c r="C17" s="1"/>
      <c r="D17" s="1"/>
      <c r="E17" s="1"/>
    </row>
    <row r="18" spans="2:5" ht="31.5" customHeight="1" x14ac:dyDescent="0.45">
      <c r="B18" s="1"/>
      <c r="C18" s="1"/>
      <c r="D18" s="1"/>
      <c r="E18" s="1"/>
    </row>
    <row r="19" spans="2:5" ht="31.5" customHeight="1" x14ac:dyDescent="0.45">
      <c r="B19" s="1"/>
      <c r="C19" s="1"/>
      <c r="D19" s="1"/>
      <c r="E19" s="1"/>
    </row>
    <row r="20" spans="2:5" ht="31.5" customHeight="1" x14ac:dyDescent="0.45">
      <c r="B20" s="1"/>
      <c r="C20" s="1"/>
      <c r="D20" s="1"/>
      <c r="E20" s="1"/>
    </row>
    <row r="21" spans="2:5" ht="31.5" customHeight="1" x14ac:dyDescent="0.45">
      <c r="B21" s="1"/>
      <c r="C21" s="1"/>
      <c r="D21" s="1"/>
      <c r="E21" s="1"/>
    </row>
    <row r="22" spans="2:5" ht="31.5" customHeight="1" x14ac:dyDescent="0.45">
      <c r="B22" s="1"/>
      <c r="C22" s="1"/>
      <c r="D22" s="1"/>
      <c r="E22" s="1"/>
    </row>
    <row r="23" spans="2:5" ht="31.5" customHeight="1" x14ac:dyDescent="0.45">
      <c r="B23" s="1"/>
      <c r="C23" s="1"/>
      <c r="D23" s="1"/>
      <c r="E23" s="1"/>
    </row>
  </sheetData>
  <mergeCells count="12">
    <mergeCell ref="B22:E22"/>
    <mergeCell ref="B23:E23"/>
    <mergeCell ref="B17:E17"/>
    <mergeCell ref="B18:E18"/>
    <mergeCell ref="B19:E19"/>
    <mergeCell ref="B20:E20"/>
    <mergeCell ref="B21:E21"/>
    <mergeCell ref="B1:E1"/>
    <mergeCell ref="B2:E2"/>
    <mergeCell ref="B4:E4"/>
    <mergeCell ref="B15:E15"/>
    <mergeCell ref="B16:E1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Entry</vt:lpstr>
      <vt:lpstr>Board Model</vt:lpstr>
      <vt:lpstr>MoM Comparison</vt:lpstr>
      <vt:lpstr>Board Pack</vt:lpstr>
      <vt:lpstr>Print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Smeer Chopra</cp:lastModifiedBy>
  <cp:revision>0</cp:revision>
  <dcterms:created xsi:type="dcterms:W3CDTF">2026-03-06T03:54:04Z</dcterms:created>
  <dcterms:modified xsi:type="dcterms:W3CDTF">2026-03-26T17:13:39Z</dcterms:modified>
  <dc:language>en-US</dc:language>
</cp:coreProperties>
</file>